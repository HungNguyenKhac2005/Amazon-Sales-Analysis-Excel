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4.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học Python\Data Science and Atifficial Interligent\Các project data science và AI\Project CV\Excel GGSheet\"/>
    </mc:Choice>
  </mc:AlternateContent>
  <xr:revisionPtr revIDLastSave="0" documentId="13_ncr:1_{6C4840D4-AC41-4A76-8545-E4AE07E5E0CC}" xr6:coauthVersionLast="47" xr6:coauthVersionMax="47" xr10:uidLastSave="{00000000-0000-0000-0000-000000000000}"/>
  <bookViews>
    <workbookView xWindow="-120" yWindow="-120" windowWidth="29040" windowHeight="15720" activeTab="6" xr2:uid="{00000000-000D-0000-FFFF-FFFF00000000}"/>
  </bookViews>
  <sheets>
    <sheet name="Home" sheetId="10" r:id="rId1"/>
    <sheet name="Raw_data" sheetId="1" r:id="rId2"/>
    <sheet name="Cleanning_data" sheetId="2" r:id="rId3"/>
    <sheet name="Data_analysis" sheetId="6" r:id="rId4"/>
    <sheet name="Dashboard_tab1" sheetId="7" r:id="rId5"/>
    <sheet name="Dashboard_tab2" sheetId="8" r:id="rId6"/>
    <sheet name="Insights_and_Recomendations" sheetId="9" r:id="rId7"/>
  </sheets>
  <definedNames>
    <definedName name="Slicer_Category">#N/A</definedName>
    <definedName name="Slicer_Customer_Location">#N/A</definedName>
    <definedName name="Slicer_Date_">#N/A</definedName>
    <definedName name="Slicer_Month">#N/A</definedName>
    <definedName name="Slicer_Payment_Method">#N/A</definedName>
    <definedName name="Slicer_Product">#N/A</definedName>
    <definedName name="Slicer_Status">#N/A</definedName>
    <definedName name="Slicer_Year">#N/A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5" i="6" l="1"/>
  <c r="R4" i="6"/>
  <c r="M2" i="2"/>
  <c r="N2" i="2" s="1"/>
  <c r="M3" i="2"/>
  <c r="P3" i="2" s="1"/>
  <c r="M4" i="2"/>
  <c r="P4" i="2" s="1"/>
  <c r="M5" i="2"/>
  <c r="P5" i="2" s="1"/>
  <c r="M6" i="2"/>
  <c r="P6" i="2" s="1"/>
  <c r="M7" i="2"/>
  <c r="P7" i="2" s="1"/>
  <c r="M8" i="2"/>
  <c r="N8" i="2" s="1"/>
  <c r="M9" i="2"/>
  <c r="O9" i="2" s="1"/>
  <c r="M10" i="2"/>
  <c r="O10" i="2" s="1"/>
  <c r="M11" i="2"/>
  <c r="P11" i="2" s="1"/>
  <c r="M12" i="2"/>
  <c r="P12" i="2" s="1"/>
  <c r="M13" i="2"/>
  <c r="P13" i="2" s="1"/>
  <c r="M14" i="2"/>
  <c r="P14" i="2" s="1"/>
  <c r="M15" i="2"/>
  <c r="P15" i="2" s="1"/>
  <c r="M16" i="2"/>
  <c r="P16" i="2" s="1"/>
  <c r="M17" i="2"/>
  <c r="P17" i="2" s="1"/>
  <c r="M18" i="2"/>
  <c r="P18" i="2" s="1"/>
  <c r="M19" i="2"/>
  <c r="P19" i="2" s="1"/>
  <c r="M20" i="2"/>
  <c r="N20" i="2" s="1"/>
  <c r="M21" i="2"/>
  <c r="O21" i="2" s="1"/>
  <c r="M22" i="2"/>
  <c r="O22" i="2" s="1"/>
  <c r="M23" i="2"/>
  <c r="P23" i="2" s="1"/>
  <c r="M24" i="2"/>
  <c r="P24" i="2" s="1"/>
  <c r="M25" i="2"/>
  <c r="P25" i="2" s="1"/>
  <c r="M26" i="2"/>
  <c r="P26" i="2" s="1"/>
  <c r="M27" i="2"/>
  <c r="P27" i="2" s="1"/>
  <c r="M28" i="2"/>
  <c r="P28" i="2" s="1"/>
  <c r="M29" i="2"/>
  <c r="P29" i="2" s="1"/>
  <c r="M30" i="2"/>
  <c r="P30" i="2" s="1"/>
  <c r="M31" i="2"/>
  <c r="P31" i="2" s="1"/>
  <c r="M32" i="2"/>
  <c r="N32" i="2" s="1"/>
  <c r="M33" i="2"/>
  <c r="O33" i="2" s="1"/>
  <c r="M34" i="2"/>
  <c r="O34" i="2" s="1"/>
  <c r="M35" i="2"/>
  <c r="P35" i="2" s="1"/>
  <c r="M36" i="2"/>
  <c r="P36" i="2" s="1"/>
  <c r="M37" i="2"/>
  <c r="P37" i="2" s="1"/>
  <c r="M38" i="2"/>
  <c r="P38" i="2" s="1"/>
  <c r="M39" i="2"/>
  <c r="P39" i="2" s="1"/>
  <c r="M40" i="2"/>
  <c r="P40" i="2" s="1"/>
  <c r="M41" i="2"/>
  <c r="P41" i="2" s="1"/>
  <c r="M42" i="2"/>
  <c r="P42" i="2" s="1"/>
  <c r="M43" i="2"/>
  <c r="P43" i="2" s="1"/>
  <c r="M44" i="2"/>
  <c r="N44" i="2" s="1"/>
  <c r="M45" i="2"/>
  <c r="O45" i="2" s="1"/>
  <c r="M46" i="2"/>
  <c r="O46" i="2" s="1"/>
  <c r="M47" i="2"/>
  <c r="P47" i="2" s="1"/>
  <c r="M48" i="2"/>
  <c r="P48" i="2" s="1"/>
  <c r="M49" i="2"/>
  <c r="P49" i="2" s="1"/>
  <c r="M50" i="2"/>
  <c r="P50" i="2" s="1"/>
  <c r="M51" i="2"/>
  <c r="P51" i="2" s="1"/>
  <c r="M52" i="2"/>
  <c r="P52" i="2" s="1"/>
  <c r="M53" i="2"/>
  <c r="P53" i="2" s="1"/>
  <c r="M54" i="2"/>
  <c r="P54" i="2" s="1"/>
  <c r="M55" i="2"/>
  <c r="P55" i="2" s="1"/>
  <c r="M56" i="2"/>
  <c r="N56" i="2" s="1"/>
  <c r="M57" i="2"/>
  <c r="O57" i="2" s="1"/>
  <c r="M58" i="2"/>
  <c r="O58" i="2" s="1"/>
  <c r="M59" i="2"/>
  <c r="P59" i="2" s="1"/>
  <c r="M60" i="2"/>
  <c r="P60" i="2" s="1"/>
  <c r="M61" i="2"/>
  <c r="P61" i="2" s="1"/>
  <c r="M62" i="2"/>
  <c r="P62" i="2" s="1"/>
  <c r="M63" i="2"/>
  <c r="P63" i="2" s="1"/>
  <c r="M64" i="2"/>
  <c r="P64" i="2" s="1"/>
  <c r="M65" i="2"/>
  <c r="P65" i="2" s="1"/>
  <c r="M66" i="2"/>
  <c r="P66" i="2" s="1"/>
  <c r="M67" i="2"/>
  <c r="P67" i="2" s="1"/>
  <c r="M68" i="2"/>
  <c r="N68" i="2" s="1"/>
  <c r="M69" i="2"/>
  <c r="O69" i="2" s="1"/>
  <c r="M70" i="2"/>
  <c r="O70" i="2" s="1"/>
  <c r="M71" i="2"/>
  <c r="P71" i="2" s="1"/>
  <c r="M72" i="2"/>
  <c r="P72" i="2" s="1"/>
  <c r="M73" i="2"/>
  <c r="P73" i="2" s="1"/>
  <c r="M74" i="2"/>
  <c r="P74" i="2" s="1"/>
  <c r="M75" i="2"/>
  <c r="P75" i="2" s="1"/>
  <c r="M76" i="2"/>
  <c r="P76" i="2" s="1"/>
  <c r="M77" i="2"/>
  <c r="P77" i="2" s="1"/>
  <c r="M78" i="2"/>
  <c r="P78" i="2" s="1"/>
  <c r="M79" i="2"/>
  <c r="P79" i="2" s="1"/>
  <c r="M80" i="2"/>
  <c r="N80" i="2" s="1"/>
  <c r="M81" i="2"/>
  <c r="O81" i="2" s="1"/>
  <c r="M82" i="2"/>
  <c r="O82" i="2" s="1"/>
  <c r="M83" i="2"/>
  <c r="P83" i="2" s="1"/>
  <c r="M84" i="2"/>
  <c r="P84" i="2" s="1"/>
  <c r="M85" i="2"/>
  <c r="P85" i="2" s="1"/>
  <c r="M86" i="2"/>
  <c r="P86" i="2" s="1"/>
  <c r="M87" i="2"/>
  <c r="P87" i="2" s="1"/>
  <c r="M88" i="2"/>
  <c r="P88" i="2" s="1"/>
  <c r="M89" i="2"/>
  <c r="P89" i="2" s="1"/>
  <c r="M90" i="2"/>
  <c r="P90" i="2" s="1"/>
  <c r="M91" i="2"/>
  <c r="P91" i="2" s="1"/>
  <c r="M92" i="2"/>
  <c r="N92" i="2" s="1"/>
  <c r="M93" i="2"/>
  <c r="O93" i="2" s="1"/>
  <c r="M94" i="2"/>
  <c r="O94" i="2" s="1"/>
  <c r="M95" i="2"/>
  <c r="P95" i="2" s="1"/>
  <c r="M96" i="2"/>
  <c r="P96" i="2" s="1"/>
  <c r="M97" i="2"/>
  <c r="P97" i="2" s="1"/>
  <c r="M98" i="2"/>
  <c r="P98" i="2" s="1"/>
  <c r="M99" i="2"/>
  <c r="P99" i="2" s="1"/>
  <c r="M100" i="2"/>
  <c r="P100" i="2" s="1"/>
  <c r="M101" i="2"/>
  <c r="P101" i="2" s="1"/>
  <c r="M102" i="2"/>
  <c r="P102" i="2" s="1"/>
  <c r="M103" i="2"/>
  <c r="P103" i="2" s="1"/>
  <c r="M104" i="2"/>
  <c r="N104" i="2" s="1"/>
  <c r="M105" i="2"/>
  <c r="O105" i="2" s="1"/>
  <c r="M106" i="2"/>
  <c r="O106" i="2" s="1"/>
  <c r="M107" i="2"/>
  <c r="P107" i="2" s="1"/>
  <c r="M108" i="2"/>
  <c r="P108" i="2" s="1"/>
  <c r="M109" i="2"/>
  <c r="P109" i="2" s="1"/>
  <c r="M110" i="2"/>
  <c r="P110" i="2" s="1"/>
  <c r="M111" i="2"/>
  <c r="P111" i="2" s="1"/>
  <c r="M112" i="2"/>
  <c r="P112" i="2" s="1"/>
  <c r="M113" i="2"/>
  <c r="P113" i="2" s="1"/>
  <c r="M114" i="2"/>
  <c r="P114" i="2" s="1"/>
  <c r="M115" i="2"/>
  <c r="P115" i="2" s="1"/>
  <c r="M116" i="2"/>
  <c r="N116" i="2" s="1"/>
  <c r="M117" i="2"/>
  <c r="O117" i="2" s="1"/>
  <c r="M118" i="2"/>
  <c r="O118" i="2" s="1"/>
  <c r="M119" i="2"/>
  <c r="P119" i="2" s="1"/>
  <c r="M120" i="2"/>
  <c r="P120" i="2" s="1"/>
  <c r="M121" i="2"/>
  <c r="P121" i="2" s="1"/>
  <c r="M122" i="2"/>
  <c r="P122" i="2" s="1"/>
  <c r="M123" i="2"/>
  <c r="P123" i="2" s="1"/>
  <c r="M124" i="2"/>
  <c r="P124" i="2" s="1"/>
  <c r="M125" i="2"/>
  <c r="P125" i="2" s="1"/>
  <c r="M126" i="2"/>
  <c r="P126" i="2" s="1"/>
  <c r="M127" i="2"/>
  <c r="P127" i="2" s="1"/>
  <c r="M128" i="2"/>
  <c r="N128" i="2" s="1"/>
  <c r="M129" i="2"/>
  <c r="O129" i="2" s="1"/>
  <c r="M130" i="2"/>
  <c r="O130" i="2" s="1"/>
  <c r="M131" i="2"/>
  <c r="P131" i="2" s="1"/>
  <c r="M132" i="2"/>
  <c r="P132" i="2" s="1"/>
  <c r="M133" i="2"/>
  <c r="P133" i="2" s="1"/>
  <c r="M134" i="2"/>
  <c r="P134" i="2" s="1"/>
  <c r="M135" i="2"/>
  <c r="P135" i="2" s="1"/>
  <c r="M136" i="2"/>
  <c r="P136" i="2" s="1"/>
  <c r="M137" i="2"/>
  <c r="P137" i="2" s="1"/>
  <c r="M138" i="2"/>
  <c r="P138" i="2" s="1"/>
  <c r="M139" i="2"/>
  <c r="P139" i="2" s="1"/>
  <c r="M140" i="2"/>
  <c r="N140" i="2" s="1"/>
  <c r="M141" i="2"/>
  <c r="O141" i="2" s="1"/>
  <c r="M142" i="2"/>
  <c r="O142" i="2" s="1"/>
  <c r="M143" i="2"/>
  <c r="P143" i="2" s="1"/>
  <c r="M144" i="2"/>
  <c r="P144" i="2" s="1"/>
  <c r="M145" i="2"/>
  <c r="P145" i="2" s="1"/>
  <c r="M146" i="2"/>
  <c r="P146" i="2" s="1"/>
  <c r="M147" i="2"/>
  <c r="P147" i="2" s="1"/>
  <c r="M148" i="2"/>
  <c r="P148" i="2" s="1"/>
  <c r="M149" i="2"/>
  <c r="P149" i="2" s="1"/>
  <c r="M150" i="2"/>
  <c r="P150" i="2" s="1"/>
  <c r="M151" i="2"/>
  <c r="P151" i="2" s="1"/>
  <c r="M152" i="2"/>
  <c r="N152" i="2" s="1"/>
  <c r="M153" i="2"/>
  <c r="O153" i="2" s="1"/>
  <c r="M154" i="2"/>
  <c r="O154" i="2" s="1"/>
  <c r="M155" i="2"/>
  <c r="P155" i="2" s="1"/>
  <c r="M156" i="2"/>
  <c r="P156" i="2" s="1"/>
  <c r="M157" i="2"/>
  <c r="P157" i="2" s="1"/>
  <c r="M158" i="2"/>
  <c r="P158" i="2" s="1"/>
  <c r="M159" i="2"/>
  <c r="P159" i="2" s="1"/>
  <c r="M160" i="2"/>
  <c r="P160" i="2" s="1"/>
  <c r="M161" i="2"/>
  <c r="P161" i="2" s="1"/>
  <c r="M162" i="2"/>
  <c r="P162" i="2" s="1"/>
  <c r="M163" i="2"/>
  <c r="P163" i="2" s="1"/>
  <c r="M164" i="2"/>
  <c r="N164" i="2" s="1"/>
  <c r="M165" i="2"/>
  <c r="O165" i="2" s="1"/>
  <c r="M166" i="2"/>
  <c r="O166" i="2" s="1"/>
  <c r="M167" i="2"/>
  <c r="P167" i="2" s="1"/>
  <c r="M168" i="2"/>
  <c r="P168" i="2" s="1"/>
  <c r="M169" i="2"/>
  <c r="P169" i="2" s="1"/>
  <c r="M170" i="2"/>
  <c r="P170" i="2" s="1"/>
  <c r="M171" i="2"/>
  <c r="P171" i="2" s="1"/>
  <c r="M172" i="2"/>
  <c r="P172" i="2" s="1"/>
  <c r="M173" i="2"/>
  <c r="P173" i="2" s="1"/>
  <c r="M174" i="2"/>
  <c r="P174" i="2" s="1"/>
  <c r="M175" i="2"/>
  <c r="P175" i="2" s="1"/>
  <c r="M176" i="2"/>
  <c r="N176" i="2" s="1"/>
  <c r="M177" i="2"/>
  <c r="O177" i="2" s="1"/>
  <c r="M178" i="2"/>
  <c r="O178" i="2" s="1"/>
  <c r="M179" i="2"/>
  <c r="P179" i="2" s="1"/>
  <c r="M180" i="2"/>
  <c r="P180" i="2" s="1"/>
  <c r="M181" i="2"/>
  <c r="P181" i="2" s="1"/>
  <c r="M182" i="2"/>
  <c r="P182" i="2" s="1"/>
  <c r="M183" i="2"/>
  <c r="P183" i="2" s="1"/>
  <c r="M184" i="2"/>
  <c r="P184" i="2" s="1"/>
  <c r="M185" i="2"/>
  <c r="P185" i="2" s="1"/>
  <c r="M186" i="2"/>
  <c r="P186" i="2" s="1"/>
  <c r="M187" i="2"/>
  <c r="P187" i="2" s="1"/>
  <c r="M188" i="2"/>
  <c r="N188" i="2" s="1"/>
  <c r="M189" i="2"/>
  <c r="O189" i="2" s="1"/>
  <c r="M190" i="2"/>
  <c r="O190" i="2" s="1"/>
  <c r="M191" i="2"/>
  <c r="P191" i="2" s="1"/>
  <c r="M192" i="2"/>
  <c r="P192" i="2" s="1"/>
  <c r="M193" i="2"/>
  <c r="P193" i="2" s="1"/>
  <c r="M194" i="2"/>
  <c r="P194" i="2" s="1"/>
  <c r="M195" i="2"/>
  <c r="P195" i="2" s="1"/>
  <c r="M196" i="2"/>
  <c r="P196" i="2" s="1"/>
  <c r="M197" i="2"/>
  <c r="P197" i="2" s="1"/>
  <c r="M198" i="2"/>
  <c r="P198" i="2" s="1"/>
  <c r="M199" i="2"/>
  <c r="P199" i="2" s="1"/>
  <c r="M200" i="2"/>
  <c r="N200" i="2" s="1"/>
  <c r="M201" i="2"/>
  <c r="O201" i="2" s="1"/>
  <c r="M202" i="2"/>
  <c r="O202" i="2" s="1"/>
  <c r="M203" i="2"/>
  <c r="P203" i="2" s="1"/>
  <c r="M204" i="2"/>
  <c r="P204" i="2" s="1"/>
  <c r="M205" i="2"/>
  <c r="P205" i="2" s="1"/>
  <c r="M206" i="2"/>
  <c r="P206" i="2" s="1"/>
  <c r="M207" i="2"/>
  <c r="P207" i="2" s="1"/>
  <c r="M208" i="2"/>
  <c r="P208" i="2" s="1"/>
  <c r="M209" i="2"/>
  <c r="P209" i="2" s="1"/>
  <c r="M210" i="2"/>
  <c r="P210" i="2" s="1"/>
  <c r="M211" i="2"/>
  <c r="P211" i="2" s="1"/>
  <c r="M212" i="2"/>
  <c r="N212" i="2" s="1"/>
  <c r="M213" i="2"/>
  <c r="O213" i="2" s="1"/>
  <c r="M214" i="2"/>
  <c r="O214" i="2" s="1"/>
  <c r="M215" i="2"/>
  <c r="P215" i="2" s="1"/>
  <c r="M216" i="2"/>
  <c r="P216" i="2" s="1"/>
  <c r="M217" i="2"/>
  <c r="P217" i="2" s="1"/>
  <c r="M218" i="2"/>
  <c r="P218" i="2" s="1"/>
  <c r="M219" i="2"/>
  <c r="P219" i="2" s="1"/>
  <c r="R15" i="2" a="1"/>
  <c r="R15" i="2" s="1"/>
  <c r="S15" i="2" s="1"/>
  <c r="X15" i="2" a="1"/>
  <c r="X15" i="2" s="1"/>
  <c r="Y15" i="2" s="1"/>
  <c r="U15" i="2" a="1"/>
  <c r="U15" i="2" s="1"/>
  <c r="V15" i="2" s="1"/>
  <c r="U8" i="2"/>
  <c r="U7" i="2"/>
  <c r="U6" i="2"/>
  <c r="T8" i="2"/>
  <c r="T7" i="2"/>
  <c r="T6" i="2"/>
  <c r="S12" i="2" a="1"/>
  <c r="S12" i="2" s="1"/>
  <c r="S11" i="2" a="1"/>
  <c r="S11" i="2" s="1"/>
  <c r="S10" i="2" a="1"/>
  <c r="S10" i="2" s="1"/>
  <c r="S9" i="2" a="1"/>
  <c r="S9" i="2" s="1"/>
  <c r="S8" i="2" a="1"/>
  <c r="S8" i="2" s="1"/>
  <c r="S7" i="2" a="1"/>
  <c r="S7" i="2" s="1"/>
  <c r="S6" i="2" a="1"/>
  <c r="S6" i="2" s="1"/>
  <c r="S3" i="2" a="1"/>
  <c r="S3" i="2" s="1"/>
  <c r="S4" i="2" a="1"/>
  <c r="S4" i="2" s="1"/>
  <c r="S5" i="2" a="1"/>
  <c r="S5" i="2" s="1"/>
  <c r="S2" i="2" a="1"/>
  <c r="S2" i="2" s="1"/>
  <c r="A2" i="2"/>
  <c r="B2" i="2"/>
  <c r="C2" i="2"/>
  <c r="D2" i="2"/>
  <c r="E2" i="2"/>
  <c r="F2" i="2"/>
  <c r="G2" i="2"/>
  <c r="H2" i="2"/>
  <c r="I2" i="2"/>
  <c r="J2" i="2"/>
  <c r="K2" i="2"/>
  <c r="A3" i="2"/>
  <c r="B3" i="2"/>
  <c r="C3" i="2"/>
  <c r="D3" i="2"/>
  <c r="E3" i="2"/>
  <c r="F3" i="2"/>
  <c r="G3" i="2"/>
  <c r="H3" i="2"/>
  <c r="I3" i="2"/>
  <c r="J3" i="2"/>
  <c r="K3" i="2"/>
  <c r="A4" i="2"/>
  <c r="B4" i="2"/>
  <c r="C4" i="2"/>
  <c r="D4" i="2"/>
  <c r="E4" i="2"/>
  <c r="F4" i="2"/>
  <c r="G4" i="2"/>
  <c r="H4" i="2"/>
  <c r="I4" i="2"/>
  <c r="J4" i="2"/>
  <c r="K4" i="2"/>
  <c r="A5" i="2"/>
  <c r="B5" i="2"/>
  <c r="C5" i="2"/>
  <c r="D5" i="2"/>
  <c r="E5" i="2"/>
  <c r="F5" i="2"/>
  <c r="G5" i="2"/>
  <c r="H5" i="2"/>
  <c r="I5" i="2"/>
  <c r="J5" i="2"/>
  <c r="K5" i="2"/>
  <c r="A6" i="2"/>
  <c r="B6" i="2"/>
  <c r="C6" i="2"/>
  <c r="D6" i="2"/>
  <c r="E6" i="2"/>
  <c r="F6" i="2"/>
  <c r="G6" i="2"/>
  <c r="H6" i="2"/>
  <c r="I6" i="2"/>
  <c r="J6" i="2"/>
  <c r="K6" i="2"/>
  <c r="A7" i="2"/>
  <c r="B7" i="2"/>
  <c r="C7" i="2"/>
  <c r="D7" i="2"/>
  <c r="E7" i="2"/>
  <c r="F7" i="2"/>
  <c r="G7" i="2"/>
  <c r="H7" i="2"/>
  <c r="I7" i="2"/>
  <c r="J7" i="2"/>
  <c r="K7" i="2"/>
  <c r="A8" i="2"/>
  <c r="B8" i="2"/>
  <c r="C8" i="2"/>
  <c r="D8" i="2"/>
  <c r="E8" i="2"/>
  <c r="F8" i="2"/>
  <c r="G8" i="2"/>
  <c r="H8" i="2"/>
  <c r="I8" i="2"/>
  <c r="J8" i="2"/>
  <c r="K8" i="2"/>
  <c r="A9" i="2"/>
  <c r="B9" i="2"/>
  <c r="C9" i="2"/>
  <c r="D9" i="2"/>
  <c r="E9" i="2"/>
  <c r="F9" i="2"/>
  <c r="G9" i="2"/>
  <c r="H9" i="2"/>
  <c r="I9" i="2"/>
  <c r="J9" i="2"/>
  <c r="K9" i="2"/>
  <c r="A10" i="2"/>
  <c r="B10" i="2"/>
  <c r="C10" i="2"/>
  <c r="D10" i="2"/>
  <c r="E10" i="2"/>
  <c r="F10" i="2"/>
  <c r="G10" i="2"/>
  <c r="H10" i="2"/>
  <c r="I10" i="2"/>
  <c r="J10" i="2"/>
  <c r="K10" i="2"/>
  <c r="A11" i="2"/>
  <c r="B11" i="2"/>
  <c r="C11" i="2"/>
  <c r="D11" i="2"/>
  <c r="E11" i="2"/>
  <c r="F11" i="2"/>
  <c r="G11" i="2"/>
  <c r="H11" i="2"/>
  <c r="I11" i="2"/>
  <c r="J11" i="2"/>
  <c r="K11" i="2"/>
  <c r="A12" i="2"/>
  <c r="B12" i="2"/>
  <c r="C12" i="2"/>
  <c r="E12" i="2"/>
  <c r="F12" i="2"/>
  <c r="G12" i="2"/>
  <c r="H12" i="2"/>
  <c r="I12" i="2"/>
  <c r="J12" i="2"/>
  <c r="K12" i="2"/>
  <c r="A13" i="2"/>
  <c r="B13" i="2"/>
  <c r="C13" i="2"/>
  <c r="D13" i="2"/>
  <c r="E13" i="2"/>
  <c r="G13" i="2"/>
  <c r="H13" i="2"/>
  <c r="I13" i="2"/>
  <c r="J13" i="2"/>
  <c r="K13" i="2"/>
  <c r="A14" i="2"/>
  <c r="B14" i="2"/>
  <c r="C14" i="2"/>
  <c r="D14" i="2"/>
  <c r="E14" i="2"/>
  <c r="F14" i="2"/>
  <c r="G14" i="2"/>
  <c r="H14" i="2"/>
  <c r="I14" i="2"/>
  <c r="J14" i="2"/>
  <c r="K14" i="2"/>
  <c r="A15" i="2"/>
  <c r="B15" i="2"/>
  <c r="C15" i="2"/>
  <c r="D15" i="2"/>
  <c r="E15" i="2"/>
  <c r="F15" i="2"/>
  <c r="G15" i="2"/>
  <c r="H15" i="2"/>
  <c r="I15" i="2"/>
  <c r="J15" i="2"/>
  <c r="K15" i="2"/>
  <c r="A16" i="2"/>
  <c r="B16" i="2"/>
  <c r="C16" i="2"/>
  <c r="D16" i="2"/>
  <c r="F16" i="2"/>
  <c r="G16" i="2"/>
  <c r="H16" i="2"/>
  <c r="I16" i="2"/>
  <c r="J16" i="2"/>
  <c r="K16" i="2"/>
  <c r="A17" i="2"/>
  <c r="B17" i="2"/>
  <c r="C17" i="2"/>
  <c r="D17" i="2"/>
  <c r="E17" i="2"/>
  <c r="F17" i="2"/>
  <c r="G17" i="2"/>
  <c r="H17" i="2"/>
  <c r="I17" i="2"/>
  <c r="J17" i="2"/>
  <c r="K17" i="2"/>
  <c r="A18" i="2"/>
  <c r="B18" i="2"/>
  <c r="C18" i="2"/>
  <c r="D18" i="2"/>
  <c r="E18" i="2"/>
  <c r="F18" i="2"/>
  <c r="G18" i="2"/>
  <c r="H18" i="2"/>
  <c r="I18" i="2"/>
  <c r="J18" i="2"/>
  <c r="K18" i="2"/>
  <c r="A19" i="2"/>
  <c r="B19" i="2"/>
  <c r="C19" i="2"/>
  <c r="D19" i="2"/>
  <c r="E19" i="2"/>
  <c r="F19" i="2"/>
  <c r="G19" i="2"/>
  <c r="H19" i="2"/>
  <c r="I19" i="2"/>
  <c r="J19" i="2"/>
  <c r="K19" i="2"/>
  <c r="A20" i="2"/>
  <c r="B20" i="2"/>
  <c r="C20" i="2"/>
  <c r="D20" i="2"/>
  <c r="E20" i="2"/>
  <c r="F20" i="2"/>
  <c r="G20" i="2"/>
  <c r="H20" i="2"/>
  <c r="I20" i="2"/>
  <c r="J20" i="2"/>
  <c r="K20" i="2"/>
  <c r="A21" i="2"/>
  <c r="B21" i="2"/>
  <c r="C21" i="2"/>
  <c r="D21" i="2"/>
  <c r="E21" i="2"/>
  <c r="F21" i="2"/>
  <c r="G21" i="2"/>
  <c r="H21" i="2"/>
  <c r="I21" i="2"/>
  <c r="J21" i="2"/>
  <c r="K21" i="2"/>
  <c r="A22" i="2"/>
  <c r="B22" i="2"/>
  <c r="C22" i="2"/>
  <c r="D22" i="2"/>
  <c r="E22" i="2"/>
  <c r="F22" i="2"/>
  <c r="G22" i="2"/>
  <c r="H22" i="2"/>
  <c r="I22" i="2"/>
  <c r="J22" i="2"/>
  <c r="K22" i="2"/>
  <c r="A23" i="2"/>
  <c r="B23" i="2"/>
  <c r="C23" i="2"/>
  <c r="D23" i="2"/>
  <c r="E23" i="2"/>
  <c r="F23" i="2"/>
  <c r="G23" i="2"/>
  <c r="H23" i="2"/>
  <c r="I23" i="2"/>
  <c r="J23" i="2"/>
  <c r="K23" i="2"/>
  <c r="A24" i="2"/>
  <c r="B24" i="2"/>
  <c r="C24" i="2"/>
  <c r="D24" i="2"/>
  <c r="E24" i="2"/>
  <c r="F24" i="2"/>
  <c r="G24" i="2"/>
  <c r="H24" i="2"/>
  <c r="I24" i="2"/>
  <c r="J24" i="2"/>
  <c r="K24" i="2"/>
  <c r="A25" i="2"/>
  <c r="B25" i="2"/>
  <c r="C25" i="2"/>
  <c r="D25" i="2"/>
  <c r="E25" i="2"/>
  <c r="F25" i="2"/>
  <c r="G25" i="2"/>
  <c r="H25" i="2"/>
  <c r="I25" i="2"/>
  <c r="J25" i="2"/>
  <c r="K25" i="2"/>
  <c r="A26" i="2"/>
  <c r="B26" i="2"/>
  <c r="C26" i="2"/>
  <c r="E26" i="2"/>
  <c r="G26" i="2"/>
  <c r="H26" i="2"/>
  <c r="I26" i="2"/>
  <c r="J26" i="2"/>
  <c r="K26" i="2"/>
  <c r="A27" i="2"/>
  <c r="B27" i="2"/>
  <c r="C27" i="2"/>
  <c r="D27" i="2"/>
  <c r="E27" i="2"/>
  <c r="F27" i="2"/>
  <c r="G27" i="2"/>
  <c r="H27" i="2"/>
  <c r="I27" i="2"/>
  <c r="J27" i="2"/>
  <c r="K27" i="2"/>
  <c r="A28" i="2"/>
  <c r="B28" i="2"/>
  <c r="C28" i="2"/>
  <c r="D28" i="2"/>
  <c r="E28" i="2"/>
  <c r="F28" i="2"/>
  <c r="G28" i="2"/>
  <c r="H28" i="2"/>
  <c r="I28" i="2"/>
  <c r="J28" i="2"/>
  <c r="K28" i="2"/>
  <c r="A29" i="2"/>
  <c r="B29" i="2"/>
  <c r="C29" i="2"/>
  <c r="D29" i="2"/>
  <c r="E29" i="2"/>
  <c r="F29" i="2"/>
  <c r="G29" i="2"/>
  <c r="H29" i="2"/>
  <c r="I29" i="2"/>
  <c r="J29" i="2"/>
  <c r="K29" i="2"/>
  <c r="A30" i="2"/>
  <c r="B30" i="2"/>
  <c r="C30" i="2"/>
  <c r="D30" i="2"/>
  <c r="F30" i="2"/>
  <c r="G30" i="2"/>
  <c r="H30" i="2"/>
  <c r="I30" i="2"/>
  <c r="J30" i="2"/>
  <c r="K30" i="2"/>
  <c r="A31" i="2"/>
  <c r="B31" i="2"/>
  <c r="C31" i="2"/>
  <c r="D31" i="2"/>
  <c r="E31" i="2"/>
  <c r="F31" i="2"/>
  <c r="G31" i="2"/>
  <c r="H31" i="2"/>
  <c r="I31" i="2"/>
  <c r="J31" i="2"/>
  <c r="K31" i="2"/>
  <c r="A32" i="2"/>
  <c r="B32" i="2"/>
  <c r="C32" i="2"/>
  <c r="D32" i="2"/>
  <c r="E32" i="2"/>
  <c r="F32" i="2"/>
  <c r="G32" i="2"/>
  <c r="H32" i="2"/>
  <c r="I32" i="2"/>
  <c r="J32" i="2"/>
  <c r="K32" i="2"/>
  <c r="A33" i="2"/>
  <c r="B33" i="2"/>
  <c r="C33" i="2"/>
  <c r="D33" i="2"/>
  <c r="E33" i="2"/>
  <c r="F33" i="2"/>
  <c r="G33" i="2"/>
  <c r="H33" i="2"/>
  <c r="I33" i="2"/>
  <c r="J33" i="2"/>
  <c r="K33" i="2"/>
  <c r="A34" i="2"/>
  <c r="B34" i="2"/>
  <c r="C34" i="2"/>
  <c r="D34" i="2"/>
  <c r="E34" i="2"/>
  <c r="F34" i="2"/>
  <c r="G34" i="2"/>
  <c r="H34" i="2"/>
  <c r="I34" i="2"/>
  <c r="J34" i="2"/>
  <c r="K34" i="2"/>
  <c r="A35" i="2"/>
  <c r="B35" i="2"/>
  <c r="C35" i="2"/>
  <c r="D35" i="2"/>
  <c r="E35" i="2"/>
  <c r="F35" i="2"/>
  <c r="G35" i="2"/>
  <c r="H35" i="2"/>
  <c r="I35" i="2"/>
  <c r="J35" i="2"/>
  <c r="K35" i="2"/>
  <c r="A36" i="2"/>
  <c r="B36" i="2"/>
  <c r="C36" i="2"/>
  <c r="D36" i="2"/>
  <c r="E36" i="2"/>
  <c r="F36" i="2"/>
  <c r="G36" i="2"/>
  <c r="H36" i="2"/>
  <c r="I36" i="2"/>
  <c r="J36" i="2"/>
  <c r="K36" i="2"/>
  <c r="A37" i="2"/>
  <c r="B37" i="2"/>
  <c r="C37" i="2"/>
  <c r="E37" i="2"/>
  <c r="F37" i="2"/>
  <c r="G37" i="2"/>
  <c r="H37" i="2"/>
  <c r="I37" i="2"/>
  <c r="J37" i="2"/>
  <c r="K37" i="2"/>
  <c r="A38" i="2"/>
  <c r="B38" i="2"/>
  <c r="C38" i="2"/>
  <c r="D38" i="2"/>
  <c r="E38" i="2"/>
  <c r="F38" i="2"/>
  <c r="G38" i="2"/>
  <c r="H38" i="2"/>
  <c r="I38" i="2"/>
  <c r="J38" i="2"/>
  <c r="K38" i="2"/>
  <c r="A39" i="2"/>
  <c r="B39" i="2"/>
  <c r="C39" i="2"/>
  <c r="D39" i="2"/>
  <c r="E39" i="2"/>
  <c r="F39" i="2"/>
  <c r="G39" i="2"/>
  <c r="H39" i="2"/>
  <c r="I39" i="2"/>
  <c r="J39" i="2"/>
  <c r="K39" i="2"/>
  <c r="A40" i="2"/>
  <c r="B40" i="2"/>
  <c r="C40" i="2"/>
  <c r="D40" i="2"/>
  <c r="G40" i="2"/>
  <c r="H40" i="2"/>
  <c r="I40" i="2"/>
  <c r="J40" i="2"/>
  <c r="K40" i="2"/>
  <c r="A41" i="2"/>
  <c r="B41" i="2"/>
  <c r="C41" i="2"/>
  <c r="D41" i="2"/>
  <c r="E41" i="2"/>
  <c r="F41" i="2"/>
  <c r="G41" i="2"/>
  <c r="H41" i="2"/>
  <c r="I41" i="2"/>
  <c r="J41" i="2"/>
  <c r="K41" i="2"/>
  <c r="A42" i="2"/>
  <c r="B42" i="2"/>
  <c r="C42" i="2"/>
  <c r="D42" i="2"/>
  <c r="E42" i="2"/>
  <c r="F42" i="2"/>
  <c r="G42" i="2"/>
  <c r="H42" i="2"/>
  <c r="I42" i="2"/>
  <c r="J42" i="2"/>
  <c r="K42" i="2"/>
  <c r="A43" i="2"/>
  <c r="B43" i="2"/>
  <c r="C43" i="2"/>
  <c r="D43" i="2"/>
  <c r="E43" i="2"/>
  <c r="F43" i="2"/>
  <c r="G43" i="2"/>
  <c r="H43" i="2"/>
  <c r="I43" i="2"/>
  <c r="J43" i="2"/>
  <c r="K43" i="2"/>
  <c r="A44" i="2"/>
  <c r="B44" i="2"/>
  <c r="C44" i="2"/>
  <c r="D44" i="2"/>
  <c r="E44" i="2"/>
  <c r="F44" i="2"/>
  <c r="G44" i="2"/>
  <c r="H44" i="2"/>
  <c r="I44" i="2"/>
  <c r="J44" i="2"/>
  <c r="K44" i="2"/>
  <c r="A45" i="2"/>
  <c r="B45" i="2"/>
  <c r="C45" i="2"/>
  <c r="D45" i="2"/>
  <c r="E45" i="2"/>
  <c r="F45" i="2"/>
  <c r="G45" i="2"/>
  <c r="H45" i="2"/>
  <c r="I45" i="2"/>
  <c r="J45" i="2"/>
  <c r="K45" i="2"/>
  <c r="A46" i="2"/>
  <c r="B46" i="2"/>
  <c r="C46" i="2"/>
  <c r="D46" i="2"/>
  <c r="F46" i="2"/>
  <c r="G46" i="2"/>
  <c r="H46" i="2"/>
  <c r="I46" i="2"/>
  <c r="J46" i="2"/>
  <c r="K46" i="2"/>
  <c r="A47" i="2"/>
  <c r="B47" i="2"/>
  <c r="C47" i="2"/>
  <c r="D47" i="2"/>
  <c r="E47" i="2"/>
  <c r="F47" i="2"/>
  <c r="G47" i="2"/>
  <c r="H47" i="2"/>
  <c r="I47" i="2"/>
  <c r="J47" i="2"/>
  <c r="K47" i="2"/>
  <c r="A48" i="2"/>
  <c r="B48" i="2"/>
  <c r="C48" i="2"/>
  <c r="D48" i="2"/>
  <c r="E48" i="2"/>
  <c r="F48" i="2"/>
  <c r="G48" i="2"/>
  <c r="H48" i="2"/>
  <c r="I48" i="2"/>
  <c r="J48" i="2"/>
  <c r="K48" i="2"/>
  <c r="A49" i="2"/>
  <c r="B49" i="2"/>
  <c r="C49" i="2"/>
  <c r="D49" i="2"/>
  <c r="E49" i="2"/>
  <c r="F49" i="2"/>
  <c r="G49" i="2"/>
  <c r="H49" i="2"/>
  <c r="I49" i="2"/>
  <c r="J49" i="2"/>
  <c r="K49" i="2"/>
  <c r="A50" i="2"/>
  <c r="B50" i="2"/>
  <c r="C50" i="2"/>
  <c r="D50" i="2"/>
  <c r="E50" i="2"/>
  <c r="F50" i="2"/>
  <c r="G50" i="2"/>
  <c r="H50" i="2"/>
  <c r="I50" i="2"/>
  <c r="J50" i="2"/>
  <c r="K50" i="2"/>
  <c r="A51" i="2"/>
  <c r="B51" i="2"/>
  <c r="C51" i="2"/>
  <c r="D51" i="2"/>
  <c r="E51" i="2"/>
  <c r="F51" i="2"/>
  <c r="G51" i="2"/>
  <c r="H51" i="2"/>
  <c r="I51" i="2"/>
  <c r="J51" i="2"/>
  <c r="K51" i="2"/>
  <c r="A52" i="2"/>
  <c r="B52" i="2"/>
  <c r="C52" i="2"/>
  <c r="E52" i="2"/>
  <c r="F52" i="2"/>
  <c r="G52" i="2"/>
  <c r="H52" i="2"/>
  <c r="I52" i="2"/>
  <c r="J52" i="2"/>
  <c r="K52" i="2"/>
  <c r="A53" i="2"/>
  <c r="B53" i="2"/>
  <c r="C53" i="2"/>
  <c r="D53" i="2"/>
  <c r="E53" i="2"/>
  <c r="F53" i="2"/>
  <c r="G53" i="2"/>
  <c r="H53" i="2"/>
  <c r="I53" i="2"/>
  <c r="J53" i="2"/>
  <c r="K53" i="2"/>
  <c r="A54" i="2"/>
  <c r="B54" i="2"/>
  <c r="C54" i="2"/>
  <c r="D54" i="2"/>
  <c r="E54" i="2"/>
  <c r="F54" i="2"/>
  <c r="G54" i="2"/>
  <c r="H54" i="2"/>
  <c r="I54" i="2"/>
  <c r="J54" i="2"/>
  <c r="K54" i="2"/>
  <c r="A55" i="2"/>
  <c r="B55" i="2"/>
  <c r="C55" i="2"/>
  <c r="D55" i="2"/>
  <c r="E55" i="2"/>
  <c r="F55" i="2"/>
  <c r="G55" i="2"/>
  <c r="H55" i="2"/>
  <c r="I55" i="2"/>
  <c r="J55" i="2"/>
  <c r="K55" i="2"/>
  <c r="A56" i="2"/>
  <c r="B56" i="2"/>
  <c r="C56" i="2"/>
  <c r="D56" i="2"/>
  <c r="E56" i="2"/>
  <c r="F56" i="2"/>
  <c r="G56" i="2"/>
  <c r="H56" i="2"/>
  <c r="I56" i="2"/>
  <c r="J56" i="2"/>
  <c r="K56" i="2"/>
  <c r="A57" i="2"/>
  <c r="B57" i="2"/>
  <c r="C57" i="2"/>
  <c r="D57" i="2"/>
  <c r="G57" i="2"/>
  <c r="H57" i="2"/>
  <c r="I57" i="2"/>
  <c r="J57" i="2"/>
  <c r="K57" i="2"/>
  <c r="A58" i="2"/>
  <c r="B58" i="2"/>
  <c r="C58" i="2"/>
  <c r="D58" i="2"/>
  <c r="E58" i="2"/>
  <c r="F58" i="2"/>
  <c r="G58" i="2"/>
  <c r="H58" i="2"/>
  <c r="I58" i="2"/>
  <c r="J58" i="2"/>
  <c r="K58" i="2"/>
  <c r="A59" i="2"/>
  <c r="B59" i="2"/>
  <c r="C59" i="2"/>
  <c r="D59" i="2"/>
  <c r="E59" i="2"/>
  <c r="F59" i="2"/>
  <c r="G59" i="2"/>
  <c r="H59" i="2"/>
  <c r="I59" i="2"/>
  <c r="J59" i="2"/>
  <c r="K59" i="2"/>
  <c r="A60" i="2"/>
  <c r="B60" i="2"/>
  <c r="C60" i="2"/>
  <c r="E60" i="2"/>
  <c r="F60" i="2"/>
  <c r="G60" i="2"/>
  <c r="H60" i="2"/>
  <c r="I60" i="2"/>
  <c r="J60" i="2"/>
  <c r="K60" i="2"/>
  <c r="A61" i="2"/>
  <c r="B61" i="2"/>
  <c r="C61" i="2"/>
  <c r="D61" i="2"/>
  <c r="E61" i="2"/>
  <c r="F61" i="2"/>
  <c r="G61" i="2"/>
  <c r="H61" i="2"/>
  <c r="I61" i="2"/>
  <c r="J61" i="2"/>
  <c r="K61" i="2"/>
  <c r="A62" i="2"/>
  <c r="B62" i="2"/>
  <c r="C62" i="2"/>
  <c r="D62" i="2"/>
  <c r="E62" i="2"/>
  <c r="F62" i="2"/>
  <c r="G62" i="2"/>
  <c r="H62" i="2"/>
  <c r="I62" i="2"/>
  <c r="J62" i="2"/>
  <c r="K62" i="2"/>
  <c r="A63" i="2"/>
  <c r="B63" i="2"/>
  <c r="C63" i="2"/>
  <c r="D63" i="2"/>
  <c r="E63" i="2"/>
  <c r="F63" i="2"/>
  <c r="G63" i="2"/>
  <c r="H63" i="2"/>
  <c r="I63" i="2"/>
  <c r="J63" i="2"/>
  <c r="K63" i="2"/>
  <c r="A64" i="2"/>
  <c r="B64" i="2"/>
  <c r="C64" i="2"/>
  <c r="D64" i="2"/>
  <c r="E64" i="2"/>
  <c r="F64" i="2"/>
  <c r="G64" i="2"/>
  <c r="H64" i="2"/>
  <c r="I64" i="2"/>
  <c r="J64" i="2"/>
  <c r="K64" i="2"/>
  <c r="A65" i="2"/>
  <c r="B65" i="2"/>
  <c r="C65" i="2"/>
  <c r="D65" i="2"/>
  <c r="E65" i="2"/>
  <c r="F65" i="2"/>
  <c r="G65" i="2"/>
  <c r="H65" i="2"/>
  <c r="I65" i="2"/>
  <c r="J65" i="2"/>
  <c r="K65" i="2"/>
  <c r="A66" i="2"/>
  <c r="B66" i="2"/>
  <c r="C66" i="2"/>
  <c r="D66" i="2"/>
  <c r="F66" i="2"/>
  <c r="G66" i="2"/>
  <c r="H66" i="2"/>
  <c r="I66" i="2"/>
  <c r="J66" i="2"/>
  <c r="K66" i="2"/>
  <c r="A67" i="2"/>
  <c r="B67" i="2"/>
  <c r="C67" i="2"/>
  <c r="D67" i="2"/>
  <c r="E67" i="2"/>
  <c r="F67" i="2"/>
  <c r="G67" i="2"/>
  <c r="H67" i="2"/>
  <c r="I67" i="2"/>
  <c r="J67" i="2"/>
  <c r="K67" i="2"/>
  <c r="A68" i="2"/>
  <c r="B68" i="2"/>
  <c r="C68" i="2"/>
  <c r="D68" i="2"/>
  <c r="E68" i="2"/>
  <c r="F68" i="2"/>
  <c r="G68" i="2"/>
  <c r="H68" i="2"/>
  <c r="I68" i="2"/>
  <c r="J68" i="2"/>
  <c r="K68" i="2"/>
  <c r="A69" i="2"/>
  <c r="B69" i="2"/>
  <c r="C69" i="2"/>
  <c r="D69" i="2"/>
  <c r="E69" i="2"/>
  <c r="F69" i="2"/>
  <c r="G69" i="2"/>
  <c r="H69" i="2"/>
  <c r="I69" i="2"/>
  <c r="J69" i="2"/>
  <c r="K69" i="2"/>
  <c r="A70" i="2"/>
  <c r="B70" i="2"/>
  <c r="C70" i="2"/>
  <c r="D70" i="2"/>
  <c r="E70" i="2"/>
  <c r="F70" i="2"/>
  <c r="G70" i="2"/>
  <c r="H70" i="2"/>
  <c r="I70" i="2"/>
  <c r="J70" i="2"/>
  <c r="K70" i="2"/>
  <c r="A71" i="2"/>
  <c r="B71" i="2"/>
  <c r="C71" i="2"/>
  <c r="E71" i="2"/>
  <c r="F71" i="2"/>
  <c r="G71" i="2"/>
  <c r="H71" i="2"/>
  <c r="I71" i="2"/>
  <c r="J71" i="2"/>
  <c r="K71" i="2"/>
  <c r="A72" i="2"/>
  <c r="B72" i="2"/>
  <c r="C72" i="2"/>
  <c r="D72" i="2"/>
  <c r="E72" i="2"/>
  <c r="F72" i="2"/>
  <c r="G72" i="2"/>
  <c r="H72" i="2"/>
  <c r="I72" i="2"/>
  <c r="J72" i="2"/>
  <c r="K72" i="2"/>
  <c r="A73" i="2"/>
  <c r="B73" i="2"/>
  <c r="C73" i="2"/>
  <c r="D73" i="2"/>
  <c r="E73" i="2"/>
  <c r="F73" i="2"/>
  <c r="G73" i="2"/>
  <c r="H73" i="2"/>
  <c r="I73" i="2"/>
  <c r="J73" i="2"/>
  <c r="K73" i="2"/>
  <c r="A74" i="2"/>
  <c r="B74" i="2"/>
  <c r="C74" i="2"/>
  <c r="D74" i="2"/>
  <c r="E74" i="2"/>
  <c r="G74" i="2"/>
  <c r="H74" i="2"/>
  <c r="I74" i="2"/>
  <c r="J74" i="2"/>
  <c r="K74" i="2"/>
  <c r="A75" i="2"/>
  <c r="B75" i="2"/>
  <c r="C75" i="2"/>
  <c r="D75" i="2"/>
  <c r="E75" i="2"/>
  <c r="F75" i="2"/>
  <c r="G75" i="2"/>
  <c r="H75" i="2"/>
  <c r="I75" i="2"/>
  <c r="J75" i="2"/>
  <c r="K75" i="2"/>
  <c r="A76" i="2"/>
  <c r="B76" i="2"/>
  <c r="C76" i="2"/>
  <c r="D76" i="2"/>
  <c r="E76" i="2"/>
  <c r="F76" i="2"/>
  <c r="G76" i="2"/>
  <c r="H76" i="2"/>
  <c r="I76" i="2"/>
  <c r="J76" i="2"/>
  <c r="K76" i="2"/>
  <c r="A77" i="2"/>
  <c r="B77" i="2"/>
  <c r="C77" i="2"/>
  <c r="D77" i="2"/>
  <c r="E77" i="2"/>
  <c r="F77" i="2"/>
  <c r="G77" i="2"/>
  <c r="H77" i="2"/>
  <c r="I77" i="2"/>
  <c r="J77" i="2"/>
  <c r="K77" i="2"/>
  <c r="A78" i="2"/>
  <c r="B78" i="2"/>
  <c r="C78" i="2"/>
  <c r="D78" i="2"/>
  <c r="E78" i="2"/>
  <c r="F78" i="2"/>
  <c r="G78" i="2"/>
  <c r="H78" i="2"/>
  <c r="I78" i="2"/>
  <c r="J78" i="2"/>
  <c r="K78" i="2"/>
  <c r="A79" i="2"/>
  <c r="B79" i="2"/>
  <c r="C79" i="2"/>
  <c r="D79" i="2"/>
  <c r="E79" i="2"/>
  <c r="F79" i="2"/>
  <c r="G79" i="2"/>
  <c r="H79" i="2"/>
  <c r="I79" i="2"/>
  <c r="J79" i="2"/>
  <c r="K79" i="2"/>
  <c r="A80" i="2"/>
  <c r="B80" i="2"/>
  <c r="C80" i="2"/>
  <c r="D80" i="2"/>
  <c r="E80" i="2"/>
  <c r="F80" i="2"/>
  <c r="G80" i="2"/>
  <c r="H80" i="2"/>
  <c r="I80" i="2"/>
  <c r="J80" i="2"/>
  <c r="K80" i="2"/>
  <c r="A81" i="2"/>
  <c r="B81" i="2"/>
  <c r="C81" i="2"/>
  <c r="D81" i="2"/>
  <c r="E81" i="2"/>
  <c r="F81" i="2"/>
  <c r="G81" i="2"/>
  <c r="H81" i="2"/>
  <c r="I81" i="2"/>
  <c r="J81" i="2"/>
  <c r="K81" i="2"/>
  <c r="A82" i="2"/>
  <c r="B82" i="2"/>
  <c r="C82" i="2"/>
  <c r="D82" i="2"/>
  <c r="E82" i="2"/>
  <c r="F82" i="2"/>
  <c r="G82" i="2"/>
  <c r="H82" i="2"/>
  <c r="I82" i="2"/>
  <c r="J82" i="2"/>
  <c r="K82" i="2"/>
  <c r="A83" i="2"/>
  <c r="B83" i="2"/>
  <c r="C83" i="2"/>
  <c r="D83" i="2"/>
  <c r="E83" i="2"/>
  <c r="F83" i="2"/>
  <c r="G83" i="2"/>
  <c r="H83" i="2"/>
  <c r="I83" i="2"/>
  <c r="J83" i="2"/>
  <c r="K83" i="2"/>
  <c r="A84" i="2"/>
  <c r="B84" i="2"/>
  <c r="C84" i="2"/>
  <c r="F84" i="2"/>
  <c r="G84" i="2"/>
  <c r="H84" i="2"/>
  <c r="I84" i="2"/>
  <c r="J84" i="2"/>
  <c r="K84" i="2"/>
  <c r="A85" i="2"/>
  <c r="B85" i="2"/>
  <c r="C85" i="2"/>
  <c r="D85" i="2"/>
  <c r="E85" i="2"/>
  <c r="F85" i="2"/>
  <c r="G85" i="2"/>
  <c r="H85" i="2"/>
  <c r="I85" i="2"/>
  <c r="J85" i="2"/>
  <c r="K85" i="2"/>
  <c r="A86" i="2"/>
  <c r="B86" i="2"/>
  <c r="C86" i="2"/>
  <c r="D86" i="2"/>
  <c r="E86" i="2"/>
  <c r="F86" i="2"/>
  <c r="G86" i="2"/>
  <c r="H86" i="2"/>
  <c r="I86" i="2"/>
  <c r="J86" i="2"/>
  <c r="K86" i="2"/>
  <c r="A87" i="2"/>
  <c r="B87" i="2"/>
  <c r="C87" i="2"/>
  <c r="D87" i="2"/>
  <c r="E87" i="2"/>
  <c r="F87" i="2"/>
  <c r="G87" i="2"/>
  <c r="H87" i="2"/>
  <c r="I87" i="2"/>
  <c r="J87" i="2"/>
  <c r="K87" i="2"/>
  <c r="A88" i="2"/>
  <c r="B88" i="2"/>
  <c r="C88" i="2"/>
  <c r="D88" i="2"/>
  <c r="E88" i="2"/>
  <c r="F88" i="2"/>
  <c r="G88" i="2"/>
  <c r="H88" i="2"/>
  <c r="I88" i="2"/>
  <c r="J88" i="2"/>
  <c r="K88" i="2"/>
  <c r="A89" i="2"/>
  <c r="B89" i="2"/>
  <c r="C89" i="2"/>
  <c r="D89" i="2"/>
  <c r="E89" i="2"/>
  <c r="F89" i="2"/>
  <c r="G89" i="2"/>
  <c r="H89" i="2"/>
  <c r="I89" i="2"/>
  <c r="J89" i="2"/>
  <c r="K89" i="2"/>
  <c r="A90" i="2"/>
  <c r="B90" i="2"/>
  <c r="C90" i="2"/>
  <c r="D90" i="2"/>
  <c r="E90" i="2"/>
  <c r="F90" i="2"/>
  <c r="G90" i="2"/>
  <c r="H90" i="2"/>
  <c r="I90" i="2"/>
  <c r="J90" i="2"/>
  <c r="K90" i="2"/>
  <c r="A91" i="2"/>
  <c r="B91" i="2"/>
  <c r="C91" i="2"/>
  <c r="D91" i="2"/>
  <c r="E91" i="2"/>
  <c r="F91" i="2"/>
  <c r="G91" i="2"/>
  <c r="H91" i="2"/>
  <c r="I91" i="2"/>
  <c r="J91" i="2"/>
  <c r="K91" i="2"/>
  <c r="A92" i="2"/>
  <c r="B92" i="2"/>
  <c r="C92" i="2"/>
  <c r="D92" i="2"/>
  <c r="E92" i="2"/>
  <c r="F92" i="2"/>
  <c r="G92" i="2"/>
  <c r="H92" i="2"/>
  <c r="I92" i="2"/>
  <c r="J92" i="2"/>
  <c r="K92" i="2"/>
  <c r="A93" i="2"/>
  <c r="B93" i="2"/>
  <c r="C93" i="2"/>
  <c r="D93" i="2"/>
  <c r="E93" i="2"/>
  <c r="F93" i="2"/>
  <c r="G93" i="2"/>
  <c r="H93" i="2"/>
  <c r="I93" i="2"/>
  <c r="J93" i="2"/>
  <c r="K93" i="2"/>
  <c r="A94" i="2"/>
  <c r="B94" i="2"/>
  <c r="C94" i="2"/>
  <c r="D94" i="2"/>
  <c r="E94" i="2"/>
  <c r="F94" i="2"/>
  <c r="G94" i="2"/>
  <c r="H94" i="2"/>
  <c r="I94" i="2"/>
  <c r="J94" i="2"/>
  <c r="K94" i="2"/>
  <c r="A95" i="2"/>
  <c r="B95" i="2"/>
  <c r="C95" i="2"/>
  <c r="D95" i="2"/>
  <c r="E95" i="2"/>
  <c r="F95" i="2"/>
  <c r="G95" i="2"/>
  <c r="H95" i="2"/>
  <c r="I95" i="2"/>
  <c r="J95" i="2"/>
  <c r="K95" i="2"/>
  <c r="A96" i="2"/>
  <c r="B96" i="2"/>
  <c r="C96" i="2"/>
  <c r="D96" i="2"/>
  <c r="E96" i="2"/>
  <c r="F96" i="2"/>
  <c r="G96" i="2"/>
  <c r="H96" i="2"/>
  <c r="I96" i="2"/>
  <c r="J96" i="2"/>
  <c r="K96" i="2"/>
  <c r="A97" i="2"/>
  <c r="B97" i="2"/>
  <c r="C97" i="2"/>
  <c r="D97" i="2"/>
  <c r="F97" i="2"/>
  <c r="G97" i="2"/>
  <c r="H97" i="2"/>
  <c r="I97" i="2"/>
  <c r="J97" i="2"/>
  <c r="K97" i="2"/>
  <c r="A98" i="2"/>
  <c r="B98" i="2"/>
  <c r="C98" i="2"/>
  <c r="D98" i="2"/>
  <c r="E98" i="2"/>
  <c r="F98" i="2"/>
  <c r="G98" i="2"/>
  <c r="H98" i="2"/>
  <c r="I98" i="2"/>
  <c r="J98" i="2"/>
  <c r="K98" i="2"/>
  <c r="A99" i="2"/>
  <c r="B99" i="2"/>
  <c r="C99" i="2"/>
  <c r="D99" i="2"/>
  <c r="E99" i="2"/>
  <c r="F99" i="2"/>
  <c r="G99" i="2"/>
  <c r="H99" i="2"/>
  <c r="I99" i="2"/>
  <c r="J99" i="2"/>
  <c r="K99" i="2"/>
  <c r="A100" i="2"/>
  <c r="B100" i="2"/>
  <c r="C100" i="2"/>
  <c r="E100" i="2"/>
  <c r="F100" i="2"/>
  <c r="G100" i="2"/>
  <c r="H100" i="2"/>
  <c r="I100" i="2"/>
  <c r="J100" i="2"/>
  <c r="K100" i="2"/>
  <c r="A101" i="2"/>
  <c r="B101" i="2"/>
  <c r="C101" i="2"/>
  <c r="D101" i="2"/>
  <c r="E101" i="2"/>
  <c r="F101" i="2"/>
  <c r="G101" i="2"/>
  <c r="H101" i="2"/>
  <c r="I101" i="2"/>
  <c r="J101" i="2"/>
  <c r="K101" i="2"/>
  <c r="A102" i="2"/>
  <c r="B102" i="2"/>
  <c r="C102" i="2"/>
  <c r="D102" i="2"/>
  <c r="E102" i="2"/>
  <c r="F102" i="2"/>
  <c r="G102" i="2"/>
  <c r="H102" i="2"/>
  <c r="I102" i="2"/>
  <c r="J102" i="2"/>
  <c r="K102" i="2"/>
  <c r="A103" i="2"/>
  <c r="B103" i="2"/>
  <c r="C103" i="2"/>
  <c r="D103" i="2"/>
  <c r="E103" i="2"/>
  <c r="F103" i="2"/>
  <c r="G103" i="2"/>
  <c r="H103" i="2"/>
  <c r="I103" i="2"/>
  <c r="J103" i="2"/>
  <c r="K103" i="2"/>
  <c r="A104" i="2"/>
  <c r="B104" i="2"/>
  <c r="C104" i="2"/>
  <c r="D104" i="2"/>
  <c r="E104" i="2"/>
  <c r="F104" i="2"/>
  <c r="G104" i="2"/>
  <c r="H104" i="2"/>
  <c r="I104" i="2"/>
  <c r="J104" i="2"/>
  <c r="K104" i="2"/>
  <c r="A105" i="2"/>
  <c r="B105" i="2"/>
  <c r="C105" i="2"/>
  <c r="D105" i="2"/>
  <c r="E105" i="2"/>
  <c r="F105" i="2"/>
  <c r="G105" i="2"/>
  <c r="H105" i="2"/>
  <c r="I105" i="2"/>
  <c r="J105" i="2"/>
  <c r="K105" i="2"/>
  <c r="A106" i="2"/>
  <c r="B106" i="2"/>
  <c r="C106" i="2"/>
  <c r="D106" i="2"/>
  <c r="E106" i="2"/>
  <c r="F106" i="2"/>
  <c r="G106" i="2"/>
  <c r="H106" i="2"/>
  <c r="I106" i="2"/>
  <c r="J106" i="2"/>
  <c r="K106" i="2"/>
  <c r="A107" i="2"/>
  <c r="B107" i="2"/>
  <c r="C107" i="2"/>
  <c r="D107" i="2"/>
  <c r="E107" i="2"/>
  <c r="F107" i="2"/>
  <c r="G107" i="2"/>
  <c r="H107" i="2"/>
  <c r="I107" i="2"/>
  <c r="J107" i="2"/>
  <c r="K107" i="2"/>
  <c r="A108" i="2"/>
  <c r="B108" i="2"/>
  <c r="C108" i="2"/>
  <c r="D108" i="2"/>
  <c r="E108" i="2"/>
  <c r="F108" i="2"/>
  <c r="G108" i="2"/>
  <c r="H108" i="2"/>
  <c r="I108" i="2"/>
  <c r="J108" i="2"/>
  <c r="K108" i="2"/>
  <c r="A109" i="2"/>
  <c r="B109" i="2"/>
  <c r="C109" i="2"/>
  <c r="D109" i="2"/>
  <c r="F109" i="2"/>
  <c r="G109" i="2"/>
  <c r="H109" i="2"/>
  <c r="I109" i="2"/>
  <c r="J109" i="2"/>
  <c r="K109" i="2"/>
  <c r="A110" i="2"/>
  <c r="B110" i="2"/>
  <c r="C110" i="2"/>
  <c r="D110" i="2"/>
  <c r="E110" i="2"/>
  <c r="F110" i="2"/>
  <c r="G110" i="2"/>
  <c r="H110" i="2"/>
  <c r="I110" i="2"/>
  <c r="J110" i="2"/>
  <c r="K110" i="2"/>
  <c r="A111" i="2"/>
  <c r="B111" i="2"/>
  <c r="C111" i="2"/>
  <c r="D111" i="2"/>
  <c r="E111" i="2"/>
  <c r="F111" i="2"/>
  <c r="G111" i="2"/>
  <c r="H111" i="2"/>
  <c r="I111" i="2"/>
  <c r="J111" i="2"/>
  <c r="K111" i="2"/>
  <c r="A112" i="2"/>
  <c r="B112" i="2"/>
  <c r="C112" i="2"/>
  <c r="E112" i="2"/>
  <c r="F112" i="2"/>
  <c r="G112" i="2"/>
  <c r="H112" i="2"/>
  <c r="I112" i="2"/>
  <c r="J112" i="2"/>
  <c r="K112" i="2"/>
  <c r="A113" i="2"/>
  <c r="B113" i="2"/>
  <c r="C113" i="2"/>
  <c r="D113" i="2"/>
  <c r="E113" i="2"/>
  <c r="F113" i="2"/>
  <c r="G113" i="2"/>
  <c r="H113" i="2"/>
  <c r="I113" i="2"/>
  <c r="J113" i="2"/>
  <c r="K113" i="2"/>
  <c r="A114" i="2"/>
  <c r="B114" i="2"/>
  <c r="C114" i="2"/>
  <c r="D114" i="2"/>
  <c r="E114" i="2"/>
  <c r="F114" i="2"/>
  <c r="G114" i="2"/>
  <c r="H114" i="2"/>
  <c r="I114" i="2"/>
  <c r="J114" i="2"/>
  <c r="K114" i="2"/>
  <c r="A115" i="2"/>
  <c r="B115" i="2"/>
  <c r="C115" i="2"/>
  <c r="D115" i="2"/>
  <c r="E115" i="2"/>
  <c r="G115" i="2"/>
  <c r="H115" i="2"/>
  <c r="I115" i="2"/>
  <c r="J115" i="2"/>
  <c r="K115" i="2"/>
  <c r="A116" i="2"/>
  <c r="B116" i="2"/>
  <c r="C116" i="2"/>
  <c r="D116" i="2"/>
  <c r="E116" i="2"/>
  <c r="F116" i="2"/>
  <c r="G116" i="2"/>
  <c r="H116" i="2"/>
  <c r="I116" i="2"/>
  <c r="J116" i="2"/>
  <c r="K116" i="2"/>
  <c r="A117" i="2"/>
  <c r="B117" i="2"/>
  <c r="C117" i="2"/>
  <c r="D117" i="2"/>
  <c r="E117" i="2"/>
  <c r="F117" i="2"/>
  <c r="G117" i="2"/>
  <c r="H117" i="2"/>
  <c r="I117" i="2"/>
  <c r="J117" i="2"/>
  <c r="K117" i="2"/>
  <c r="A118" i="2"/>
  <c r="B118" i="2"/>
  <c r="C118" i="2"/>
  <c r="D118" i="2"/>
  <c r="F118" i="2"/>
  <c r="G118" i="2"/>
  <c r="H118" i="2"/>
  <c r="I118" i="2"/>
  <c r="J118" i="2"/>
  <c r="K118" i="2"/>
  <c r="A119" i="2"/>
  <c r="B119" i="2"/>
  <c r="C119" i="2"/>
  <c r="D119" i="2"/>
  <c r="E119" i="2"/>
  <c r="F119" i="2"/>
  <c r="G119" i="2"/>
  <c r="H119" i="2"/>
  <c r="I119" i="2"/>
  <c r="J119" i="2"/>
  <c r="K119" i="2"/>
  <c r="A120" i="2"/>
  <c r="B120" i="2"/>
  <c r="C120" i="2"/>
  <c r="D120" i="2"/>
  <c r="E120" i="2"/>
  <c r="F120" i="2"/>
  <c r="G120" i="2"/>
  <c r="H120" i="2"/>
  <c r="I120" i="2"/>
  <c r="J120" i="2"/>
  <c r="K120" i="2"/>
  <c r="A121" i="2"/>
  <c r="B121" i="2"/>
  <c r="C121" i="2"/>
  <c r="D121" i="2"/>
  <c r="E121" i="2"/>
  <c r="F121" i="2"/>
  <c r="G121" i="2"/>
  <c r="H121" i="2"/>
  <c r="I121" i="2"/>
  <c r="J121" i="2"/>
  <c r="K121" i="2"/>
  <c r="A122" i="2"/>
  <c r="B122" i="2"/>
  <c r="C122" i="2"/>
  <c r="D122" i="2"/>
  <c r="E122" i="2"/>
  <c r="F122" i="2"/>
  <c r="G122" i="2"/>
  <c r="H122" i="2"/>
  <c r="I122" i="2"/>
  <c r="J122" i="2"/>
  <c r="K122" i="2"/>
  <c r="A123" i="2"/>
  <c r="B123" i="2"/>
  <c r="C123" i="2"/>
  <c r="D123" i="2"/>
  <c r="E123" i="2"/>
  <c r="F123" i="2"/>
  <c r="G123" i="2"/>
  <c r="H123" i="2"/>
  <c r="I123" i="2"/>
  <c r="J123" i="2"/>
  <c r="K123" i="2"/>
  <c r="A124" i="2"/>
  <c r="B124" i="2"/>
  <c r="C124" i="2"/>
  <c r="D124" i="2"/>
  <c r="E124" i="2"/>
  <c r="F124" i="2"/>
  <c r="G124" i="2"/>
  <c r="H124" i="2"/>
  <c r="I124" i="2"/>
  <c r="J124" i="2"/>
  <c r="K124" i="2"/>
  <c r="A125" i="2"/>
  <c r="B125" i="2"/>
  <c r="C125" i="2"/>
  <c r="E125" i="2"/>
  <c r="G125" i="2"/>
  <c r="H125" i="2"/>
  <c r="I125" i="2"/>
  <c r="J125" i="2"/>
  <c r="K125" i="2"/>
  <c r="A126" i="2"/>
  <c r="B126" i="2"/>
  <c r="C126" i="2"/>
  <c r="D126" i="2"/>
  <c r="E126" i="2"/>
  <c r="F126" i="2"/>
  <c r="G126" i="2"/>
  <c r="H126" i="2"/>
  <c r="I126" i="2"/>
  <c r="J126" i="2"/>
  <c r="K126" i="2"/>
  <c r="A127" i="2"/>
  <c r="B127" i="2"/>
  <c r="C127" i="2"/>
  <c r="D127" i="2"/>
  <c r="E127" i="2"/>
  <c r="F127" i="2"/>
  <c r="G127" i="2"/>
  <c r="H127" i="2"/>
  <c r="I127" i="2"/>
  <c r="J127" i="2"/>
  <c r="K127" i="2"/>
  <c r="A128" i="2"/>
  <c r="B128" i="2"/>
  <c r="C128" i="2"/>
  <c r="D128" i="2"/>
  <c r="E128" i="2"/>
  <c r="F128" i="2"/>
  <c r="G128" i="2"/>
  <c r="H128" i="2"/>
  <c r="I128" i="2"/>
  <c r="J128" i="2"/>
  <c r="K128" i="2"/>
  <c r="A129" i="2"/>
  <c r="B129" i="2"/>
  <c r="C129" i="2"/>
  <c r="D129" i="2"/>
  <c r="E129" i="2"/>
  <c r="F129" i="2"/>
  <c r="G129" i="2"/>
  <c r="H129" i="2"/>
  <c r="I129" i="2"/>
  <c r="J129" i="2"/>
  <c r="K129" i="2"/>
  <c r="A130" i="2"/>
  <c r="B130" i="2"/>
  <c r="C130" i="2"/>
  <c r="D130" i="2"/>
  <c r="F130" i="2"/>
  <c r="G130" i="2"/>
  <c r="H130" i="2"/>
  <c r="I130" i="2"/>
  <c r="J130" i="2"/>
  <c r="K130" i="2"/>
  <c r="A131" i="2"/>
  <c r="B131" i="2"/>
  <c r="C131" i="2"/>
  <c r="D131" i="2"/>
  <c r="E131" i="2"/>
  <c r="F131" i="2"/>
  <c r="G131" i="2"/>
  <c r="H131" i="2"/>
  <c r="I131" i="2"/>
  <c r="J131" i="2"/>
  <c r="K131" i="2"/>
  <c r="A132" i="2"/>
  <c r="B132" i="2"/>
  <c r="C132" i="2"/>
  <c r="D132" i="2"/>
  <c r="E132" i="2"/>
  <c r="F132" i="2"/>
  <c r="G132" i="2"/>
  <c r="H132" i="2"/>
  <c r="I132" i="2"/>
  <c r="J132" i="2"/>
  <c r="K132" i="2"/>
  <c r="A133" i="2"/>
  <c r="B133" i="2"/>
  <c r="C133" i="2"/>
  <c r="D133" i="2"/>
  <c r="E133" i="2"/>
  <c r="F133" i="2"/>
  <c r="G133" i="2"/>
  <c r="H133" i="2"/>
  <c r="I133" i="2"/>
  <c r="J133" i="2"/>
  <c r="K133" i="2"/>
  <c r="A134" i="2"/>
  <c r="B134" i="2"/>
  <c r="C134" i="2"/>
  <c r="D134" i="2"/>
  <c r="E134" i="2"/>
  <c r="F134" i="2"/>
  <c r="G134" i="2"/>
  <c r="H134" i="2"/>
  <c r="I134" i="2"/>
  <c r="J134" i="2"/>
  <c r="K134" i="2"/>
  <c r="A135" i="2"/>
  <c r="B135" i="2"/>
  <c r="C135" i="2"/>
  <c r="D135" i="2"/>
  <c r="E135" i="2"/>
  <c r="G135" i="2"/>
  <c r="H135" i="2"/>
  <c r="I135" i="2"/>
  <c r="J135" i="2"/>
  <c r="K135" i="2"/>
  <c r="A136" i="2"/>
  <c r="B136" i="2"/>
  <c r="C136" i="2"/>
  <c r="D136" i="2"/>
  <c r="E136" i="2"/>
  <c r="F136" i="2"/>
  <c r="G136" i="2"/>
  <c r="H136" i="2"/>
  <c r="I136" i="2"/>
  <c r="J136" i="2"/>
  <c r="K136" i="2"/>
  <c r="A137" i="2"/>
  <c r="B137" i="2"/>
  <c r="C137" i="2"/>
  <c r="D137" i="2"/>
  <c r="E137" i="2"/>
  <c r="F137" i="2"/>
  <c r="G137" i="2"/>
  <c r="H137" i="2"/>
  <c r="I137" i="2"/>
  <c r="J137" i="2"/>
  <c r="K137" i="2"/>
  <c r="A138" i="2"/>
  <c r="B138" i="2"/>
  <c r="C138" i="2"/>
  <c r="E138" i="2"/>
  <c r="F138" i="2"/>
  <c r="G138" i="2"/>
  <c r="H138" i="2"/>
  <c r="I138" i="2"/>
  <c r="J138" i="2"/>
  <c r="K138" i="2"/>
  <c r="A139" i="2"/>
  <c r="B139" i="2"/>
  <c r="C139" i="2"/>
  <c r="D139" i="2"/>
  <c r="E139" i="2"/>
  <c r="F139" i="2"/>
  <c r="G139" i="2"/>
  <c r="H139" i="2"/>
  <c r="I139" i="2"/>
  <c r="J139" i="2"/>
  <c r="K139" i="2"/>
  <c r="A140" i="2"/>
  <c r="B140" i="2"/>
  <c r="C140" i="2"/>
  <c r="D140" i="2"/>
  <c r="F140" i="2"/>
  <c r="G140" i="2"/>
  <c r="H140" i="2"/>
  <c r="I140" i="2"/>
  <c r="J140" i="2"/>
  <c r="K140" i="2"/>
  <c r="A141" i="2"/>
  <c r="B141" i="2"/>
  <c r="C141" i="2"/>
  <c r="D141" i="2"/>
  <c r="E141" i="2"/>
  <c r="F141" i="2"/>
  <c r="G141" i="2"/>
  <c r="H141" i="2"/>
  <c r="I141" i="2"/>
  <c r="J141" i="2"/>
  <c r="K141" i="2"/>
  <c r="A142" i="2"/>
  <c r="B142" i="2"/>
  <c r="C142" i="2"/>
  <c r="D142" i="2"/>
  <c r="E142" i="2"/>
  <c r="F142" i="2"/>
  <c r="G142" i="2"/>
  <c r="H142" i="2"/>
  <c r="I142" i="2"/>
  <c r="J142" i="2"/>
  <c r="K142" i="2"/>
  <c r="A143" i="2"/>
  <c r="B143" i="2"/>
  <c r="C143" i="2"/>
  <c r="D143" i="2"/>
  <c r="E143" i="2"/>
  <c r="F143" i="2"/>
  <c r="G143" i="2"/>
  <c r="H143" i="2"/>
  <c r="I143" i="2"/>
  <c r="J143" i="2"/>
  <c r="K143" i="2"/>
  <c r="A144" i="2"/>
  <c r="B144" i="2"/>
  <c r="C144" i="2"/>
  <c r="D144" i="2"/>
  <c r="E144" i="2"/>
  <c r="F144" i="2"/>
  <c r="G144" i="2"/>
  <c r="H144" i="2"/>
  <c r="I144" i="2"/>
  <c r="J144" i="2"/>
  <c r="K144" i="2"/>
  <c r="A145" i="2"/>
  <c r="B145" i="2"/>
  <c r="C145" i="2"/>
  <c r="D145" i="2"/>
  <c r="E145" i="2"/>
  <c r="F145" i="2"/>
  <c r="G145" i="2"/>
  <c r="H145" i="2"/>
  <c r="I145" i="2"/>
  <c r="J145" i="2"/>
  <c r="K145" i="2"/>
  <c r="A146" i="2"/>
  <c r="B146" i="2"/>
  <c r="C146" i="2"/>
  <c r="D146" i="2"/>
  <c r="E146" i="2"/>
  <c r="F146" i="2"/>
  <c r="G146" i="2"/>
  <c r="H146" i="2"/>
  <c r="I146" i="2"/>
  <c r="J146" i="2"/>
  <c r="K146" i="2"/>
  <c r="A147" i="2"/>
  <c r="B147" i="2"/>
  <c r="C147" i="2"/>
  <c r="D147" i="2"/>
  <c r="E147" i="2"/>
  <c r="F147" i="2"/>
  <c r="G147" i="2"/>
  <c r="H147" i="2"/>
  <c r="I147" i="2"/>
  <c r="J147" i="2"/>
  <c r="K147" i="2"/>
  <c r="A148" i="2"/>
  <c r="B148" i="2"/>
  <c r="C148" i="2"/>
  <c r="D148" i="2"/>
  <c r="E148" i="2"/>
  <c r="G148" i="2"/>
  <c r="H148" i="2"/>
  <c r="I148" i="2"/>
  <c r="J148" i="2"/>
  <c r="K148" i="2"/>
  <c r="A149" i="2"/>
  <c r="B149" i="2"/>
  <c r="C149" i="2"/>
  <c r="D149" i="2"/>
  <c r="E149" i="2"/>
  <c r="F149" i="2"/>
  <c r="G149" i="2"/>
  <c r="H149" i="2"/>
  <c r="I149" i="2"/>
  <c r="J149" i="2"/>
  <c r="K149" i="2"/>
  <c r="A150" i="2"/>
  <c r="B150" i="2"/>
  <c r="C150" i="2"/>
  <c r="F150" i="2"/>
  <c r="G150" i="2"/>
  <c r="H150" i="2"/>
  <c r="I150" i="2"/>
  <c r="J150" i="2"/>
  <c r="K150" i="2"/>
  <c r="A151" i="2"/>
  <c r="B151" i="2"/>
  <c r="C151" i="2"/>
  <c r="D151" i="2"/>
  <c r="E151" i="2"/>
  <c r="F151" i="2"/>
  <c r="G151" i="2"/>
  <c r="H151" i="2"/>
  <c r="I151" i="2"/>
  <c r="J151" i="2"/>
  <c r="K151" i="2"/>
  <c r="A152" i="2"/>
  <c r="B152" i="2"/>
  <c r="C152" i="2"/>
  <c r="D152" i="2"/>
  <c r="E152" i="2"/>
  <c r="F152" i="2"/>
  <c r="G152" i="2"/>
  <c r="H152" i="2"/>
  <c r="I152" i="2"/>
  <c r="J152" i="2"/>
  <c r="K152" i="2"/>
  <c r="A153" i="2"/>
  <c r="B153" i="2"/>
  <c r="C153" i="2"/>
  <c r="D153" i="2"/>
  <c r="E153" i="2"/>
  <c r="F153" i="2"/>
  <c r="G153" i="2"/>
  <c r="H153" i="2"/>
  <c r="I153" i="2"/>
  <c r="J153" i="2"/>
  <c r="K153" i="2"/>
  <c r="A154" i="2"/>
  <c r="B154" i="2"/>
  <c r="C154" i="2"/>
  <c r="D154" i="2"/>
  <c r="E154" i="2"/>
  <c r="F154" i="2"/>
  <c r="G154" i="2"/>
  <c r="H154" i="2"/>
  <c r="I154" i="2"/>
  <c r="J154" i="2"/>
  <c r="K154" i="2"/>
  <c r="A155" i="2"/>
  <c r="B155" i="2"/>
  <c r="C155" i="2"/>
  <c r="D155" i="2"/>
  <c r="E155" i="2"/>
  <c r="F155" i="2"/>
  <c r="G155" i="2"/>
  <c r="H155" i="2"/>
  <c r="I155" i="2"/>
  <c r="J155" i="2"/>
  <c r="K155" i="2"/>
  <c r="A156" i="2"/>
  <c r="B156" i="2"/>
  <c r="C156" i="2"/>
  <c r="D156" i="2"/>
  <c r="E156" i="2"/>
  <c r="F156" i="2"/>
  <c r="G156" i="2"/>
  <c r="H156" i="2"/>
  <c r="I156" i="2"/>
  <c r="J156" i="2"/>
  <c r="K156" i="2"/>
  <c r="A157" i="2"/>
  <c r="B157" i="2"/>
  <c r="C157" i="2"/>
  <c r="D157" i="2"/>
  <c r="E157" i="2"/>
  <c r="F157" i="2"/>
  <c r="G157" i="2"/>
  <c r="H157" i="2"/>
  <c r="I157" i="2"/>
  <c r="J157" i="2"/>
  <c r="K157" i="2"/>
  <c r="A158" i="2"/>
  <c r="B158" i="2"/>
  <c r="C158" i="2"/>
  <c r="D158" i="2"/>
  <c r="E158" i="2"/>
  <c r="G158" i="2"/>
  <c r="H158" i="2"/>
  <c r="I158" i="2"/>
  <c r="J158" i="2"/>
  <c r="K158" i="2"/>
  <c r="A159" i="2"/>
  <c r="B159" i="2"/>
  <c r="C159" i="2"/>
  <c r="D159" i="2"/>
  <c r="E159" i="2"/>
  <c r="F159" i="2"/>
  <c r="G159" i="2"/>
  <c r="H159" i="2"/>
  <c r="I159" i="2"/>
  <c r="J159" i="2"/>
  <c r="K159" i="2"/>
  <c r="A160" i="2"/>
  <c r="B160" i="2"/>
  <c r="C160" i="2"/>
  <c r="E160" i="2"/>
  <c r="F160" i="2"/>
  <c r="G160" i="2"/>
  <c r="H160" i="2"/>
  <c r="I160" i="2"/>
  <c r="J160" i="2"/>
  <c r="K160" i="2"/>
  <c r="A161" i="2"/>
  <c r="B161" i="2"/>
  <c r="C161" i="2"/>
  <c r="D161" i="2"/>
  <c r="E161" i="2"/>
  <c r="F161" i="2"/>
  <c r="G161" i="2"/>
  <c r="H161" i="2"/>
  <c r="I161" i="2"/>
  <c r="J161" i="2"/>
  <c r="K161" i="2"/>
  <c r="A162" i="2"/>
  <c r="B162" i="2"/>
  <c r="C162" i="2"/>
  <c r="D162" i="2"/>
  <c r="E162" i="2"/>
  <c r="F162" i="2"/>
  <c r="G162" i="2"/>
  <c r="H162" i="2"/>
  <c r="I162" i="2"/>
  <c r="J162" i="2"/>
  <c r="K162" i="2"/>
  <c r="A163" i="2"/>
  <c r="B163" i="2"/>
  <c r="C163" i="2"/>
  <c r="D163" i="2"/>
  <c r="F163" i="2"/>
  <c r="G163" i="2"/>
  <c r="H163" i="2"/>
  <c r="I163" i="2"/>
  <c r="J163" i="2"/>
  <c r="K163" i="2"/>
  <c r="A164" i="2"/>
  <c r="B164" i="2"/>
  <c r="C164" i="2"/>
  <c r="D164" i="2"/>
  <c r="E164" i="2"/>
  <c r="F164" i="2"/>
  <c r="G164" i="2"/>
  <c r="H164" i="2"/>
  <c r="I164" i="2"/>
  <c r="J164" i="2"/>
  <c r="K164" i="2"/>
  <c r="A165" i="2"/>
  <c r="B165" i="2"/>
  <c r="C165" i="2"/>
  <c r="D165" i="2"/>
  <c r="E165" i="2"/>
  <c r="F165" i="2"/>
  <c r="G165" i="2"/>
  <c r="H165" i="2"/>
  <c r="I165" i="2"/>
  <c r="J165" i="2"/>
  <c r="K165" i="2"/>
  <c r="A166" i="2"/>
  <c r="B166" i="2"/>
  <c r="C166" i="2"/>
  <c r="D166" i="2"/>
  <c r="E166" i="2"/>
  <c r="G166" i="2"/>
  <c r="H166" i="2"/>
  <c r="I166" i="2"/>
  <c r="J166" i="2"/>
  <c r="K166" i="2"/>
  <c r="A167" i="2"/>
  <c r="B167" i="2"/>
  <c r="C167" i="2"/>
  <c r="D167" i="2"/>
  <c r="E167" i="2"/>
  <c r="F167" i="2"/>
  <c r="G167" i="2"/>
  <c r="H167" i="2"/>
  <c r="I167" i="2"/>
  <c r="J167" i="2"/>
  <c r="K167" i="2"/>
  <c r="A168" i="2"/>
  <c r="B168" i="2"/>
  <c r="C168" i="2"/>
  <c r="D168" i="2"/>
  <c r="E168" i="2"/>
  <c r="F168" i="2"/>
  <c r="G168" i="2"/>
  <c r="H168" i="2"/>
  <c r="I168" i="2"/>
  <c r="J168" i="2"/>
  <c r="K168" i="2"/>
  <c r="A169" i="2"/>
  <c r="B169" i="2"/>
  <c r="C169" i="2"/>
  <c r="D169" i="2"/>
  <c r="E169" i="2"/>
  <c r="F169" i="2"/>
  <c r="G169" i="2"/>
  <c r="H169" i="2"/>
  <c r="I169" i="2"/>
  <c r="J169" i="2"/>
  <c r="K169" i="2"/>
  <c r="A170" i="2"/>
  <c r="B170" i="2"/>
  <c r="C170" i="2"/>
  <c r="D170" i="2"/>
  <c r="E170" i="2"/>
  <c r="F170" i="2"/>
  <c r="G170" i="2"/>
  <c r="H170" i="2"/>
  <c r="I170" i="2"/>
  <c r="J170" i="2"/>
  <c r="K170" i="2"/>
  <c r="A171" i="2"/>
  <c r="B171" i="2"/>
  <c r="C171" i="2"/>
  <c r="D171" i="2"/>
  <c r="E171" i="2"/>
  <c r="F171" i="2"/>
  <c r="G171" i="2"/>
  <c r="H171" i="2"/>
  <c r="I171" i="2"/>
  <c r="J171" i="2"/>
  <c r="K171" i="2"/>
  <c r="A172" i="2"/>
  <c r="B172" i="2"/>
  <c r="C172" i="2"/>
  <c r="D172" i="2"/>
  <c r="E172" i="2"/>
  <c r="F172" i="2"/>
  <c r="G172" i="2"/>
  <c r="H172" i="2"/>
  <c r="I172" i="2"/>
  <c r="J172" i="2"/>
  <c r="K172" i="2"/>
  <c r="A173" i="2"/>
  <c r="B173" i="2"/>
  <c r="C173" i="2"/>
  <c r="D173" i="2"/>
  <c r="E173" i="2"/>
  <c r="F173" i="2"/>
  <c r="G173" i="2"/>
  <c r="H173" i="2"/>
  <c r="I173" i="2"/>
  <c r="J173" i="2"/>
  <c r="K173" i="2"/>
  <c r="A174" i="2"/>
  <c r="B174" i="2"/>
  <c r="C174" i="2"/>
  <c r="D174" i="2"/>
  <c r="E174" i="2"/>
  <c r="F174" i="2"/>
  <c r="G174" i="2"/>
  <c r="H174" i="2"/>
  <c r="I174" i="2"/>
  <c r="J174" i="2"/>
  <c r="K174" i="2"/>
  <c r="A175" i="2"/>
  <c r="B175" i="2"/>
  <c r="C175" i="2"/>
  <c r="D175" i="2"/>
  <c r="E175" i="2"/>
  <c r="F175" i="2"/>
  <c r="G175" i="2"/>
  <c r="H175" i="2"/>
  <c r="I175" i="2"/>
  <c r="J175" i="2"/>
  <c r="K175" i="2"/>
  <c r="A176" i="2"/>
  <c r="B176" i="2"/>
  <c r="C176" i="2"/>
  <c r="D176" i="2"/>
  <c r="F176" i="2"/>
  <c r="G176" i="2"/>
  <c r="H176" i="2"/>
  <c r="I176" i="2"/>
  <c r="J176" i="2"/>
  <c r="K176" i="2"/>
  <c r="A177" i="2"/>
  <c r="B177" i="2"/>
  <c r="C177" i="2"/>
  <c r="D177" i="2"/>
  <c r="E177" i="2"/>
  <c r="F177" i="2"/>
  <c r="G177" i="2"/>
  <c r="H177" i="2"/>
  <c r="I177" i="2"/>
  <c r="J177" i="2"/>
  <c r="K177" i="2"/>
  <c r="A178" i="2"/>
  <c r="B178" i="2"/>
  <c r="C178" i="2"/>
  <c r="D178" i="2"/>
  <c r="E178" i="2"/>
  <c r="F178" i="2"/>
  <c r="G178" i="2"/>
  <c r="H178" i="2"/>
  <c r="I178" i="2"/>
  <c r="J178" i="2"/>
  <c r="K178" i="2"/>
  <c r="A179" i="2"/>
  <c r="B179" i="2"/>
  <c r="C179" i="2"/>
  <c r="D179" i="2"/>
  <c r="E179" i="2"/>
  <c r="F179" i="2"/>
  <c r="G179" i="2"/>
  <c r="H179" i="2"/>
  <c r="I179" i="2"/>
  <c r="J179" i="2"/>
  <c r="K179" i="2"/>
  <c r="A180" i="2"/>
  <c r="B180" i="2"/>
  <c r="C180" i="2"/>
  <c r="D180" i="2"/>
  <c r="E180" i="2"/>
  <c r="F180" i="2"/>
  <c r="G180" i="2"/>
  <c r="H180" i="2"/>
  <c r="I180" i="2"/>
  <c r="J180" i="2"/>
  <c r="K180" i="2"/>
  <c r="A181" i="2"/>
  <c r="B181" i="2"/>
  <c r="C181" i="2"/>
  <c r="D181" i="2"/>
  <c r="E181" i="2"/>
  <c r="F181" i="2"/>
  <c r="G181" i="2"/>
  <c r="H181" i="2"/>
  <c r="I181" i="2"/>
  <c r="J181" i="2"/>
  <c r="K181" i="2"/>
  <c r="A182" i="2"/>
  <c r="B182" i="2"/>
  <c r="C182" i="2"/>
  <c r="D182" i="2"/>
  <c r="E182" i="2"/>
  <c r="F182" i="2"/>
  <c r="G182" i="2"/>
  <c r="H182" i="2"/>
  <c r="I182" i="2"/>
  <c r="J182" i="2"/>
  <c r="K182" i="2"/>
  <c r="A183" i="2"/>
  <c r="B183" i="2"/>
  <c r="C183" i="2"/>
  <c r="D183" i="2"/>
  <c r="E183" i="2"/>
  <c r="F183" i="2"/>
  <c r="G183" i="2"/>
  <c r="H183" i="2"/>
  <c r="I183" i="2"/>
  <c r="J183" i="2"/>
  <c r="K183" i="2"/>
  <c r="A184" i="2"/>
  <c r="B184" i="2"/>
  <c r="C184" i="2"/>
  <c r="D184" i="2"/>
  <c r="E184" i="2"/>
  <c r="F184" i="2"/>
  <c r="G184" i="2"/>
  <c r="H184" i="2"/>
  <c r="I184" i="2"/>
  <c r="J184" i="2"/>
  <c r="K184" i="2"/>
  <c r="A185" i="2"/>
  <c r="B185" i="2"/>
  <c r="C185" i="2"/>
  <c r="D185" i="2"/>
  <c r="E185" i="2"/>
  <c r="F185" i="2"/>
  <c r="G185" i="2"/>
  <c r="H185" i="2"/>
  <c r="I185" i="2"/>
  <c r="J185" i="2"/>
  <c r="K185" i="2"/>
  <c r="A186" i="2"/>
  <c r="B186" i="2"/>
  <c r="C186" i="2"/>
  <c r="D186" i="2"/>
  <c r="E186" i="2"/>
  <c r="F186" i="2"/>
  <c r="G186" i="2"/>
  <c r="H186" i="2"/>
  <c r="I186" i="2"/>
  <c r="J186" i="2"/>
  <c r="K186" i="2"/>
  <c r="A187" i="2"/>
  <c r="B187" i="2"/>
  <c r="C187" i="2"/>
  <c r="D187" i="2"/>
  <c r="E187" i="2"/>
  <c r="F187" i="2"/>
  <c r="G187" i="2"/>
  <c r="H187" i="2"/>
  <c r="I187" i="2"/>
  <c r="J187" i="2"/>
  <c r="K187" i="2"/>
  <c r="A188" i="2"/>
  <c r="B188" i="2"/>
  <c r="C188" i="2"/>
  <c r="D188" i="2"/>
  <c r="E188" i="2"/>
  <c r="F188" i="2"/>
  <c r="G188" i="2"/>
  <c r="H188" i="2"/>
  <c r="I188" i="2"/>
  <c r="J188" i="2"/>
  <c r="K188" i="2"/>
  <c r="A189" i="2"/>
  <c r="B189" i="2"/>
  <c r="C189" i="2"/>
  <c r="D189" i="2"/>
  <c r="E189" i="2"/>
  <c r="F189" i="2"/>
  <c r="G189" i="2"/>
  <c r="H189" i="2"/>
  <c r="I189" i="2"/>
  <c r="J189" i="2"/>
  <c r="K189" i="2"/>
  <c r="A190" i="2"/>
  <c r="B190" i="2"/>
  <c r="C190" i="2"/>
  <c r="D190" i="2"/>
  <c r="E190" i="2"/>
  <c r="F190" i="2"/>
  <c r="G190" i="2"/>
  <c r="H190" i="2"/>
  <c r="I190" i="2"/>
  <c r="J190" i="2"/>
  <c r="K190" i="2"/>
  <c r="A191" i="2"/>
  <c r="B191" i="2"/>
  <c r="C191" i="2"/>
  <c r="D191" i="2"/>
  <c r="E191" i="2"/>
  <c r="F191" i="2"/>
  <c r="G191" i="2"/>
  <c r="H191" i="2"/>
  <c r="I191" i="2"/>
  <c r="J191" i="2"/>
  <c r="K191" i="2"/>
  <c r="A192" i="2"/>
  <c r="B192" i="2"/>
  <c r="C192" i="2"/>
  <c r="D192" i="2"/>
  <c r="E192" i="2"/>
  <c r="F192" i="2"/>
  <c r="G192" i="2"/>
  <c r="H192" i="2"/>
  <c r="I192" i="2"/>
  <c r="J192" i="2"/>
  <c r="K192" i="2"/>
  <c r="A193" i="2"/>
  <c r="B193" i="2"/>
  <c r="C193" i="2"/>
  <c r="D193" i="2"/>
  <c r="E193" i="2"/>
  <c r="F193" i="2"/>
  <c r="G193" i="2"/>
  <c r="H193" i="2"/>
  <c r="I193" i="2"/>
  <c r="J193" i="2"/>
  <c r="K193" i="2"/>
  <c r="A194" i="2"/>
  <c r="B194" i="2"/>
  <c r="C194" i="2"/>
  <c r="D194" i="2"/>
  <c r="E194" i="2"/>
  <c r="F194" i="2"/>
  <c r="G194" i="2"/>
  <c r="H194" i="2"/>
  <c r="I194" i="2"/>
  <c r="J194" i="2"/>
  <c r="K194" i="2"/>
  <c r="A195" i="2"/>
  <c r="B195" i="2"/>
  <c r="C195" i="2"/>
  <c r="D195" i="2"/>
  <c r="E195" i="2"/>
  <c r="F195" i="2"/>
  <c r="G195" i="2"/>
  <c r="H195" i="2"/>
  <c r="I195" i="2"/>
  <c r="J195" i="2"/>
  <c r="K195" i="2"/>
  <c r="A196" i="2"/>
  <c r="B196" i="2"/>
  <c r="C196" i="2"/>
  <c r="D196" i="2"/>
  <c r="E196" i="2"/>
  <c r="G196" i="2"/>
  <c r="H196" i="2"/>
  <c r="I196" i="2"/>
  <c r="J196" i="2"/>
  <c r="K196" i="2"/>
  <c r="A197" i="2"/>
  <c r="B197" i="2"/>
  <c r="C197" i="2"/>
  <c r="D197" i="2"/>
  <c r="E197" i="2"/>
  <c r="F197" i="2"/>
  <c r="G197" i="2"/>
  <c r="H197" i="2"/>
  <c r="I197" i="2"/>
  <c r="J197" i="2"/>
  <c r="K197" i="2"/>
  <c r="A198" i="2"/>
  <c r="B198" i="2"/>
  <c r="C198" i="2"/>
  <c r="D198" i="2"/>
  <c r="E198" i="2"/>
  <c r="G198" i="2"/>
  <c r="H198" i="2"/>
  <c r="I198" i="2"/>
  <c r="J198" i="2"/>
  <c r="K198" i="2"/>
  <c r="A199" i="2"/>
  <c r="B199" i="2"/>
  <c r="C199" i="2"/>
  <c r="D199" i="2"/>
  <c r="E199" i="2"/>
  <c r="F199" i="2"/>
  <c r="G199" i="2"/>
  <c r="H199" i="2"/>
  <c r="I199" i="2"/>
  <c r="J199" i="2"/>
  <c r="K199" i="2"/>
  <c r="A200" i="2"/>
  <c r="B200" i="2"/>
  <c r="C200" i="2"/>
  <c r="D200" i="2"/>
  <c r="E200" i="2"/>
  <c r="F200" i="2"/>
  <c r="G200" i="2"/>
  <c r="H200" i="2"/>
  <c r="I200" i="2"/>
  <c r="J200" i="2"/>
  <c r="K200" i="2"/>
  <c r="A201" i="2"/>
  <c r="B201" i="2"/>
  <c r="C201" i="2"/>
  <c r="D201" i="2"/>
  <c r="E201" i="2"/>
  <c r="F201" i="2"/>
  <c r="G201" i="2"/>
  <c r="H201" i="2"/>
  <c r="I201" i="2"/>
  <c r="J201" i="2"/>
  <c r="K201" i="2"/>
  <c r="A202" i="2"/>
  <c r="B202" i="2"/>
  <c r="C202" i="2"/>
  <c r="D202" i="2"/>
  <c r="E202" i="2"/>
  <c r="F202" i="2"/>
  <c r="G202" i="2"/>
  <c r="H202" i="2"/>
  <c r="I202" i="2"/>
  <c r="J202" i="2"/>
  <c r="K202" i="2"/>
  <c r="A203" i="2"/>
  <c r="B203" i="2"/>
  <c r="C203" i="2"/>
  <c r="D203" i="2"/>
  <c r="E203" i="2"/>
  <c r="F203" i="2"/>
  <c r="G203" i="2"/>
  <c r="H203" i="2"/>
  <c r="I203" i="2"/>
  <c r="J203" i="2"/>
  <c r="K203" i="2"/>
  <c r="A204" i="2"/>
  <c r="B204" i="2"/>
  <c r="C204" i="2"/>
  <c r="D204" i="2"/>
  <c r="E204" i="2"/>
  <c r="F204" i="2"/>
  <c r="G204" i="2"/>
  <c r="H204" i="2"/>
  <c r="I204" i="2"/>
  <c r="J204" i="2"/>
  <c r="K204" i="2"/>
  <c r="A205" i="2"/>
  <c r="B205" i="2"/>
  <c r="C205" i="2"/>
  <c r="D205" i="2"/>
  <c r="E205" i="2"/>
  <c r="F205" i="2"/>
  <c r="G205" i="2"/>
  <c r="H205" i="2"/>
  <c r="I205" i="2"/>
  <c r="J205" i="2"/>
  <c r="K205" i="2"/>
  <c r="A206" i="2"/>
  <c r="B206" i="2"/>
  <c r="C206" i="2"/>
  <c r="D206" i="2"/>
  <c r="E206" i="2"/>
  <c r="F206" i="2"/>
  <c r="G206" i="2"/>
  <c r="H206" i="2"/>
  <c r="I206" i="2"/>
  <c r="J206" i="2"/>
  <c r="K206" i="2"/>
  <c r="A207" i="2"/>
  <c r="B207" i="2"/>
  <c r="C207" i="2"/>
  <c r="D207" i="2"/>
  <c r="E207" i="2"/>
  <c r="F207" i="2"/>
  <c r="G207" i="2"/>
  <c r="H207" i="2"/>
  <c r="I207" i="2"/>
  <c r="J207" i="2"/>
  <c r="K207" i="2"/>
  <c r="A208" i="2"/>
  <c r="B208" i="2"/>
  <c r="C208" i="2"/>
  <c r="D208" i="2"/>
  <c r="E208" i="2"/>
  <c r="F208" i="2"/>
  <c r="G208" i="2"/>
  <c r="H208" i="2"/>
  <c r="I208" i="2"/>
  <c r="J208" i="2"/>
  <c r="K208" i="2"/>
  <c r="A209" i="2"/>
  <c r="B209" i="2"/>
  <c r="C209" i="2"/>
  <c r="D209" i="2"/>
  <c r="E209" i="2"/>
  <c r="F209" i="2"/>
  <c r="G209" i="2"/>
  <c r="H209" i="2"/>
  <c r="I209" i="2"/>
  <c r="J209" i="2"/>
  <c r="K209" i="2"/>
  <c r="A210" i="2"/>
  <c r="B210" i="2"/>
  <c r="C210" i="2"/>
  <c r="D210" i="2"/>
  <c r="E210" i="2"/>
  <c r="G210" i="2"/>
  <c r="H210" i="2"/>
  <c r="I210" i="2"/>
  <c r="J210" i="2"/>
  <c r="K210" i="2"/>
  <c r="A211" i="2"/>
  <c r="B211" i="2"/>
  <c r="C211" i="2"/>
  <c r="D211" i="2"/>
  <c r="E211" i="2"/>
  <c r="F211" i="2"/>
  <c r="G211" i="2"/>
  <c r="H211" i="2"/>
  <c r="I211" i="2"/>
  <c r="J211" i="2"/>
  <c r="K211" i="2"/>
  <c r="A212" i="2"/>
  <c r="B212" i="2"/>
  <c r="C212" i="2"/>
  <c r="D212" i="2"/>
  <c r="E212" i="2"/>
  <c r="F212" i="2"/>
  <c r="G212" i="2"/>
  <c r="H212" i="2"/>
  <c r="I212" i="2"/>
  <c r="J212" i="2"/>
  <c r="K212" i="2"/>
  <c r="A213" i="2"/>
  <c r="B213" i="2"/>
  <c r="C213" i="2"/>
  <c r="D213" i="2"/>
  <c r="E213" i="2"/>
  <c r="F213" i="2"/>
  <c r="G213" i="2"/>
  <c r="H213" i="2"/>
  <c r="I213" i="2"/>
  <c r="J213" i="2"/>
  <c r="K213" i="2"/>
  <c r="A214" i="2"/>
  <c r="B214" i="2"/>
  <c r="C214" i="2"/>
  <c r="D214" i="2"/>
  <c r="E214" i="2"/>
  <c r="F214" i="2"/>
  <c r="G214" i="2"/>
  <c r="H214" i="2"/>
  <c r="I214" i="2"/>
  <c r="J214" i="2"/>
  <c r="K214" i="2"/>
  <c r="A215" i="2"/>
  <c r="B215" i="2"/>
  <c r="C215" i="2"/>
  <c r="D215" i="2"/>
  <c r="E215" i="2"/>
  <c r="F215" i="2"/>
  <c r="G215" i="2"/>
  <c r="H215" i="2"/>
  <c r="I215" i="2"/>
  <c r="J215" i="2"/>
  <c r="K215" i="2"/>
  <c r="A216" i="2"/>
  <c r="B216" i="2"/>
  <c r="C216" i="2"/>
  <c r="D216" i="2"/>
  <c r="E216" i="2"/>
  <c r="F216" i="2"/>
  <c r="G216" i="2"/>
  <c r="H216" i="2"/>
  <c r="I216" i="2"/>
  <c r="J216" i="2"/>
  <c r="K216" i="2"/>
  <c r="A217" i="2"/>
  <c r="B217" i="2"/>
  <c r="C217" i="2"/>
  <c r="D217" i="2"/>
  <c r="E217" i="2"/>
  <c r="F217" i="2"/>
  <c r="G217" i="2"/>
  <c r="H217" i="2"/>
  <c r="I217" i="2"/>
  <c r="J217" i="2"/>
  <c r="K217" i="2"/>
  <c r="A218" i="2"/>
  <c r="B218" i="2"/>
  <c r="C218" i="2"/>
  <c r="D218" i="2"/>
  <c r="E218" i="2"/>
  <c r="F218" i="2"/>
  <c r="G218" i="2"/>
  <c r="H218" i="2"/>
  <c r="I218" i="2"/>
  <c r="J218" i="2"/>
  <c r="K218" i="2"/>
  <c r="A219" i="2"/>
  <c r="B219" i="2"/>
  <c r="C219" i="2"/>
  <c r="D219" i="2"/>
  <c r="E219" i="2"/>
  <c r="F219" i="2"/>
  <c r="G219" i="2"/>
  <c r="H219" i="2"/>
  <c r="I219" i="2"/>
  <c r="J219" i="2"/>
  <c r="K219" i="2"/>
  <c r="R6" i="6" l="1"/>
  <c r="N211" i="2"/>
  <c r="N199" i="2"/>
  <c r="N187" i="2"/>
  <c r="N175" i="2"/>
  <c r="N163" i="2"/>
  <c r="N151" i="2"/>
  <c r="N139" i="2"/>
  <c r="N127" i="2"/>
  <c r="N115" i="2"/>
  <c r="N103" i="2"/>
  <c r="N91" i="2"/>
  <c r="N79" i="2"/>
  <c r="N67" i="2"/>
  <c r="N55" i="2"/>
  <c r="N43" i="2"/>
  <c r="N31" i="2"/>
  <c r="N19" i="2"/>
  <c r="N7" i="2"/>
  <c r="O212" i="2"/>
  <c r="O200" i="2"/>
  <c r="O188" i="2"/>
  <c r="O176" i="2"/>
  <c r="O164" i="2"/>
  <c r="O152" i="2"/>
  <c r="O140" i="2"/>
  <c r="O128" i="2"/>
  <c r="O116" i="2"/>
  <c r="O104" i="2"/>
  <c r="O92" i="2"/>
  <c r="O80" i="2"/>
  <c r="O68" i="2"/>
  <c r="O56" i="2"/>
  <c r="O44" i="2"/>
  <c r="O32" i="2"/>
  <c r="O20" i="2"/>
  <c r="O8" i="2"/>
  <c r="P214" i="2"/>
  <c r="P202" i="2"/>
  <c r="P190" i="2"/>
  <c r="P178" i="2"/>
  <c r="P166" i="2"/>
  <c r="P154" i="2"/>
  <c r="P142" i="2"/>
  <c r="P130" i="2"/>
  <c r="P118" i="2"/>
  <c r="P106" i="2"/>
  <c r="P94" i="2"/>
  <c r="P82" i="2"/>
  <c r="P70" i="2"/>
  <c r="P58" i="2"/>
  <c r="P46" i="2"/>
  <c r="P34" i="2"/>
  <c r="P22" i="2"/>
  <c r="P10" i="2"/>
  <c r="N210" i="2"/>
  <c r="N198" i="2"/>
  <c r="N186" i="2"/>
  <c r="N174" i="2"/>
  <c r="N162" i="2"/>
  <c r="N150" i="2"/>
  <c r="N138" i="2"/>
  <c r="N126" i="2"/>
  <c r="N114" i="2"/>
  <c r="N102" i="2"/>
  <c r="N90" i="2"/>
  <c r="N78" i="2"/>
  <c r="N66" i="2"/>
  <c r="N54" i="2"/>
  <c r="N42" i="2"/>
  <c r="N30" i="2"/>
  <c r="N18" i="2"/>
  <c r="N6" i="2"/>
  <c r="O211" i="2"/>
  <c r="O199" i="2"/>
  <c r="O187" i="2"/>
  <c r="O175" i="2"/>
  <c r="O163" i="2"/>
  <c r="O151" i="2"/>
  <c r="O139" i="2"/>
  <c r="O127" i="2"/>
  <c r="O115" i="2"/>
  <c r="O103" i="2"/>
  <c r="O91" i="2"/>
  <c r="O79" i="2"/>
  <c r="O67" i="2"/>
  <c r="O55" i="2"/>
  <c r="O43" i="2"/>
  <c r="O31" i="2"/>
  <c r="O19" i="2"/>
  <c r="O7" i="2"/>
  <c r="P213" i="2"/>
  <c r="P201" i="2"/>
  <c r="P189" i="2"/>
  <c r="P177" i="2"/>
  <c r="P165" i="2"/>
  <c r="P153" i="2"/>
  <c r="P141" i="2"/>
  <c r="P129" i="2"/>
  <c r="P117" i="2"/>
  <c r="P105" i="2"/>
  <c r="P93" i="2"/>
  <c r="P81" i="2"/>
  <c r="P69" i="2"/>
  <c r="P57" i="2"/>
  <c r="P45" i="2"/>
  <c r="P33" i="2"/>
  <c r="P21" i="2"/>
  <c r="P9" i="2"/>
  <c r="N209" i="2"/>
  <c r="N197" i="2"/>
  <c r="N185" i="2"/>
  <c r="N173" i="2"/>
  <c r="N161" i="2"/>
  <c r="N149" i="2"/>
  <c r="N137" i="2"/>
  <c r="N125" i="2"/>
  <c r="N113" i="2"/>
  <c r="N101" i="2"/>
  <c r="N89" i="2"/>
  <c r="N77" i="2"/>
  <c r="N65" i="2"/>
  <c r="N53" i="2"/>
  <c r="N41" i="2"/>
  <c r="N29" i="2"/>
  <c r="N17" i="2"/>
  <c r="N5" i="2"/>
  <c r="O210" i="2"/>
  <c r="O198" i="2"/>
  <c r="O186" i="2"/>
  <c r="O174" i="2"/>
  <c r="O162" i="2"/>
  <c r="O150" i="2"/>
  <c r="O138" i="2"/>
  <c r="O126" i="2"/>
  <c r="O114" i="2"/>
  <c r="O102" i="2"/>
  <c r="O90" i="2"/>
  <c r="O78" i="2"/>
  <c r="O66" i="2"/>
  <c r="O54" i="2"/>
  <c r="O42" i="2"/>
  <c r="O30" i="2"/>
  <c r="O18" i="2"/>
  <c r="O6" i="2"/>
  <c r="P212" i="2"/>
  <c r="P200" i="2"/>
  <c r="P188" i="2"/>
  <c r="P176" i="2"/>
  <c r="P164" i="2"/>
  <c r="P152" i="2"/>
  <c r="P140" i="2"/>
  <c r="P128" i="2"/>
  <c r="P116" i="2"/>
  <c r="P104" i="2"/>
  <c r="P92" i="2"/>
  <c r="P80" i="2"/>
  <c r="P68" i="2"/>
  <c r="P56" i="2"/>
  <c r="P44" i="2"/>
  <c r="P32" i="2"/>
  <c r="P20" i="2"/>
  <c r="P8" i="2"/>
  <c r="N208" i="2"/>
  <c r="N196" i="2"/>
  <c r="N184" i="2"/>
  <c r="N172" i="2"/>
  <c r="N160" i="2"/>
  <c r="N148" i="2"/>
  <c r="N136" i="2"/>
  <c r="N124" i="2"/>
  <c r="N112" i="2"/>
  <c r="N100" i="2"/>
  <c r="N88" i="2"/>
  <c r="N76" i="2"/>
  <c r="N64" i="2"/>
  <c r="N52" i="2"/>
  <c r="N40" i="2"/>
  <c r="N28" i="2"/>
  <c r="N16" i="2"/>
  <c r="N4" i="2"/>
  <c r="O209" i="2"/>
  <c r="O197" i="2"/>
  <c r="O185" i="2"/>
  <c r="O173" i="2"/>
  <c r="O161" i="2"/>
  <c r="O149" i="2"/>
  <c r="O137" i="2"/>
  <c r="O125" i="2"/>
  <c r="O113" i="2"/>
  <c r="O101" i="2"/>
  <c r="O89" i="2"/>
  <c r="O77" i="2"/>
  <c r="O65" i="2"/>
  <c r="O53" i="2"/>
  <c r="O41" i="2"/>
  <c r="O29" i="2"/>
  <c r="O17" i="2"/>
  <c r="O5" i="2"/>
  <c r="N219" i="2"/>
  <c r="N207" i="2"/>
  <c r="N195" i="2"/>
  <c r="N183" i="2"/>
  <c r="N171" i="2"/>
  <c r="N159" i="2"/>
  <c r="N147" i="2"/>
  <c r="N135" i="2"/>
  <c r="N123" i="2"/>
  <c r="N111" i="2"/>
  <c r="N99" i="2"/>
  <c r="N87" i="2"/>
  <c r="N75" i="2"/>
  <c r="N63" i="2"/>
  <c r="N51" i="2"/>
  <c r="N39" i="2"/>
  <c r="N27" i="2"/>
  <c r="N15" i="2"/>
  <c r="N3" i="2"/>
  <c r="O208" i="2"/>
  <c r="O196" i="2"/>
  <c r="O184" i="2"/>
  <c r="O172" i="2"/>
  <c r="O160" i="2"/>
  <c r="O148" i="2"/>
  <c r="O136" i="2"/>
  <c r="O124" i="2"/>
  <c r="O112" i="2"/>
  <c r="O100" i="2"/>
  <c r="O88" i="2"/>
  <c r="O76" i="2"/>
  <c r="O64" i="2"/>
  <c r="O52" i="2"/>
  <c r="O40" i="2"/>
  <c r="O28" i="2"/>
  <c r="O16" i="2"/>
  <c r="O4" i="2"/>
  <c r="N218" i="2"/>
  <c r="N206" i="2"/>
  <c r="N194" i="2"/>
  <c r="N182" i="2"/>
  <c r="N170" i="2"/>
  <c r="N158" i="2"/>
  <c r="N146" i="2"/>
  <c r="N134" i="2"/>
  <c r="N122" i="2"/>
  <c r="N110" i="2"/>
  <c r="N98" i="2"/>
  <c r="N86" i="2"/>
  <c r="N74" i="2"/>
  <c r="N62" i="2"/>
  <c r="N50" i="2"/>
  <c r="N38" i="2"/>
  <c r="N26" i="2"/>
  <c r="N14" i="2"/>
  <c r="O219" i="2"/>
  <c r="O207" i="2"/>
  <c r="O195" i="2"/>
  <c r="O183" i="2"/>
  <c r="O171" i="2"/>
  <c r="O159" i="2"/>
  <c r="O147" i="2"/>
  <c r="O135" i="2"/>
  <c r="O123" i="2"/>
  <c r="O111" i="2"/>
  <c r="O99" i="2"/>
  <c r="O87" i="2"/>
  <c r="O75" i="2"/>
  <c r="O63" i="2"/>
  <c r="O51" i="2"/>
  <c r="O39" i="2"/>
  <c r="O27" i="2"/>
  <c r="O15" i="2"/>
  <c r="O3" i="2"/>
  <c r="N217" i="2"/>
  <c r="N205" i="2"/>
  <c r="N193" i="2"/>
  <c r="N181" i="2"/>
  <c r="N169" i="2"/>
  <c r="N157" i="2"/>
  <c r="N145" i="2"/>
  <c r="N133" i="2"/>
  <c r="N121" i="2"/>
  <c r="N109" i="2"/>
  <c r="N97" i="2"/>
  <c r="N85" i="2"/>
  <c r="N73" i="2"/>
  <c r="N61" i="2"/>
  <c r="N49" i="2"/>
  <c r="N37" i="2"/>
  <c r="N25" i="2"/>
  <c r="N13" i="2"/>
  <c r="O218" i="2"/>
  <c r="O206" i="2"/>
  <c r="O194" i="2"/>
  <c r="O182" i="2"/>
  <c r="O170" i="2"/>
  <c r="O158" i="2"/>
  <c r="O146" i="2"/>
  <c r="O134" i="2"/>
  <c r="O122" i="2"/>
  <c r="O110" i="2"/>
  <c r="O98" i="2"/>
  <c r="O86" i="2"/>
  <c r="O74" i="2"/>
  <c r="O62" i="2"/>
  <c r="O50" i="2"/>
  <c r="O38" i="2"/>
  <c r="O26" i="2"/>
  <c r="O14" i="2"/>
  <c r="O2" i="2"/>
  <c r="N216" i="2"/>
  <c r="N204" i="2"/>
  <c r="N192" i="2"/>
  <c r="N180" i="2"/>
  <c r="N168" i="2"/>
  <c r="N156" i="2"/>
  <c r="N144" i="2"/>
  <c r="N132" i="2"/>
  <c r="N120" i="2"/>
  <c r="N108" i="2"/>
  <c r="N96" i="2"/>
  <c r="N84" i="2"/>
  <c r="N72" i="2"/>
  <c r="N60" i="2"/>
  <c r="N48" i="2"/>
  <c r="N36" i="2"/>
  <c r="N24" i="2"/>
  <c r="N12" i="2"/>
  <c r="O217" i="2"/>
  <c r="O205" i="2"/>
  <c r="O193" i="2"/>
  <c r="O181" i="2"/>
  <c r="O169" i="2"/>
  <c r="O157" i="2"/>
  <c r="O145" i="2"/>
  <c r="O133" i="2"/>
  <c r="O121" i="2"/>
  <c r="O109" i="2"/>
  <c r="O97" i="2"/>
  <c r="O85" i="2"/>
  <c r="O73" i="2"/>
  <c r="O61" i="2"/>
  <c r="O49" i="2"/>
  <c r="O37" i="2"/>
  <c r="O25" i="2"/>
  <c r="O13" i="2"/>
  <c r="N215" i="2"/>
  <c r="N203" i="2"/>
  <c r="N191" i="2"/>
  <c r="N179" i="2"/>
  <c r="N167" i="2"/>
  <c r="N155" i="2"/>
  <c r="N143" i="2"/>
  <c r="N131" i="2"/>
  <c r="N119" i="2"/>
  <c r="N107" i="2"/>
  <c r="N95" i="2"/>
  <c r="N83" i="2"/>
  <c r="N71" i="2"/>
  <c r="N59" i="2"/>
  <c r="N47" i="2"/>
  <c r="N35" i="2"/>
  <c r="N23" i="2"/>
  <c r="N11" i="2"/>
  <c r="O216" i="2"/>
  <c r="O204" i="2"/>
  <c r="O192" i="2"/>
  <c r="O180" i="2"/>
  <c r="O168" i="2"/>
  <c r="O156" i="2"/>
  <c r="O144" i="2"/>
  <c r="O132" i="2"/>
  <c r="O120" i="2"/>
  <c r="O108" i="2"/>
  <c r="O96" i="2"/>
  <c r="O84" i="2"/>
  <c r="O72" i="2"/>
  <c r="O60" i="2"/>
  <c r="O48" i="2"/>
  <c r="O36" i="2"/>
  <c r="O24" i="2"/>
  <c r="O12" i="2"/>
  <c r="P2" i="2"/>
  <c r="N214" i="2"/>
  <c r="N202" i="2"/>
  <c r="N190" i="2"/>
  <c r="N178" i="2"/>
  <c r="N166" i="2"/>
  <c r="N154" i="2"/>
  <c r="N142" i="2"/>
  <c r="N130" i="2"/>
  <c r="N118" i="2"/>
  <c r="N106" i="2"/>
  <c r="N94" i="2"/>
  <c r="N82" i="2"/>
  <c r="N70" i="2"/>
  <c r="N58" i="2"/>
  <c r="N46" i="2"/>
  <c r="N34" i="2"/>
  <c r="N22" i="2"/>
  <c r="N10" i="2"/>
  <c r="O215" i="2"/>
  <c r="O203" i="2"/>
  <c r="O191" i="2"/>
  <c r="O179" i="2"/>
  <c r="O167" i="2"/>
  <c r="O155" i="2"/>
  <c r="O143" i="2"/>
  <c r="O131" i="2"/>
  <c r="O119" i="2"/>
  <c r="O107" i="2"/>
  <c r="O95" i="2"/>
  <c r="O83" i="2"/>
  <c r="O71" i="2"/>
  <c r="O59" i="2"/>
  <c r="O47" i="2"/>
  <c r="O35" i="2"/>
  <c r="O23" i="2"/>
  <c r="O11" i="2"/>
  <c r="N213" i="2"/>
  <c r="N201" i="2"/>
  <c r="N189" i="2"/>
  <c r="N177" i="2"/>
  <c r="N165" i="2"/>
  <c r="N153" i="2"/>
  <c r="N141" i="2"/>
  <c r="N129" i="2"/>
  <c r="N117" i="2"/>
  <c r="N105" i="2"/>
  <c r="N93" i="2"/>
  <c r="N81" i="2"/>
  <c r="N69" i="2"/>
  <c r="N57" i="2"/>
  <c r="N45" i="2"/>
  <c r="N33" i="2"/>
  <c r="N21" i="2"/>
  <c r="N9" i="2"/>
  <c r="L219" i="2"/>
  <c r="L208" i="2"/>
  <c r="L197" i="2"/>
  <c r="L186" i="2"/>
  <c r="L175" i="2"/>
  <c r="L164" i="2"/>
  <c r="L155" i="2"/>
  <c r="L146" i="2"/>
  <c r="L58" i="2"/>
  <c r="L99" i="2"/>
  <c r="L11" i="2"/>
  <c r="L199" i="2"/>
  <c r="L211" i="2"/>
  <c r="L200" i="2"/>
  <c r="L190" i="2"/>
  <c r="L178" i="2"/>
  <c r="L167" i="2"/>
  <c r="L149" i="2"/>
  <c r="L139" i="2"/>
  <c r="L130" i="2"/>
  <c r="L111" i="2"/>
  <c r="L90" i="2"/>
  <c r="L80" i="2"/>
  <c r="L70" i="2"/>
  <c r="L51" i="2"/>
  <c r="L31" i="2"/>
  <c r="L22" i="2"/>
  <c r="L128" i="2"/>
  <c r="L100" i="2"/>
  <c r="L79" i="2"/>
  <c r="L216" i="2"/>
  <c r="L212" i="2"/>
  <c r="L204" i="2"/>
  <c r="L201" i="2"/>
  <c r="L192" i="2"/>
  <c r="L191" i="2"/>
  <c r="L180" i="2"/>
  <c r="L179" i="2"/>
  <c r="L168" i="2"/>
  <c r="L159" i="2"/>
  <c r="L156" i="2"/>
  <c r="L150" i="2"/>
  <c r="L144" i="2"/>
  <c r="L140" i="2"/>
  <c r="L132" i="2"/>
  <c r="L121" i="2"/>
  <c r="L112" i="2"/>
  <c r="L108" i="2"/>
  <c r="L101" i="2"/>
  <c r="L96" i="2"/>
  <c r="L91" i="2"/>
  <c r="L84" i="2"/>
  <c r="L81" i="2"/>
  <c r="L72" i="2"/>
  <c r="L71" i="2"/>
  <c r="L61" i="2"/>
  <c r="L52" i="2"/>
  <c r="L48" i="2"/>
  <c r="L41" i="2"/>
  <c r="L37" i="2"/>
  <c r="L36" i="2"/>
  <c r="L32" i="2"/>
  <c r="L25" i="2"/>
  <c r="L24" i="2"/>
  <c r="L23" i="2"/>
  <c r="L13" i="2"/>
  <c r="L2" i="2"/>
  <c r="L157" i="2"/>
  <c r="L148" i="2"/>
  <c r="L20" i="2"/>
  <c r="L129" i="2"/>
  <c r="L119" i="2"/>
  <c r="L110" i="2"/>
  <c r="L89" i="2"/>
  <c r="L69" i="2"/>
  <c r="L59" i="2"/>
  <c r="L50" i="2"/>
  <c r="L21" i="2"/>
  <c r="L213" i="2"/>
  <c r="L202" i="2"/>
  <c r="L169" i="2"/>
  <c r="L160" i="2"/>
  <c r="L131" i="2"/>
  <c r="L122" i="2"/>
  <c r="L102" i="2"/>
  <c r="L92" i="2"/>
  <c r="L82" i="2"/>
  <c r="L42" i="2"/>
  <c r="L33" i="2"/>
  <c r="L3" i="2"/>
  <c r="L166" i="2"/>
  <c r="L40" i="2"/>
  <c r="L177" i="2"/>
  <c r="L158" i="2"/>
  <c r="L214" i="2"/>
  <c r="L193" i="2"/>
  <c r="L141" i="2"/>
  <c r="L123" i="2"/>
  <c r="L113" i="2"/>
  <c r="L103" i="2"/>
  <c r="L93" i="2"/>
  <c r="L83" i="2"/>
  <c r="L73" i="2"/>
  <c r="L62" i="2"/>
  <c r="L53" i="2"/>
  <c r="L43" i="2"/>
  <c r="L34" i="2"/>
  <c r="L15" i="2"/>
  <c r="L14" i="2"/>
  <c r="L4" i="2"/>
  <c r="L210" i="2"/>
  <c r="L188" i="2"/>
  <c r="L78" i="2"/>
  <c r="L30" i="2"/>
  <c r="L189" i="2"/>
  <c r="L203" i="2"/>
  <c r="L181" i="2"/>
  <c r="L170" i="2"/>
  <c r="L215" i="2"/>
  <c r="L194" i="2"/>
  <c r="L182" i="2"/>
  <c r="L171" i="2"/>
  <c r="L161" i="2"/>
  <c r="L151" i="2"/>
  <c r="L142" i="2"/>
  <c r="L133" i="2"/>
  <c r="L124" i="2"/>
  <c r="L114" i="2"/>
  <c r="L104" i="2"/>
  <c r="L94" i="2"/>
  <c r="L63" i="2"/>
  <c r="L54" i="2"/>
  <c r="L44" i="2"/>
  <c r="L35" i="2"/>
  <c r="L26" i="2"/>
  <c r="L5" i="2"/>
  <c r="L138" i="2"/>
  <c r="L195" i="2"/>
  <c r="L172" i="2"/>
  <c r="L55" i="2"/>
  <c r="L45" i="2"/>
  <c r="L16" i="2"/>
  <c r="L6" i="2"/>
  <c r="L68" i="2"/>
  <c r="L205" i="2"/>
  <c r="L183" i="2"/>
  <c r="L162" i="2"/>
  <c r="L152" i="2"/>
  <c r="L143" i="2"/>
  <c r="L134" i="2"/>
  <c r="L125" i="2"/>
  <c r="L115" i="2"/>
  <c r="L105" i="2"/>
  <c r="L95" i="2"/>
  <c r="L74" i="2"/>
  <c r="L64" i="2"/>
  <c r="L217" i="2"/>
  <c r="L206" i="2"/>
  <c r="L196" i="2"/>
  <c r="L184" i="2"/>
  <c r="L173" i="2"/>
  <c r="L163" i="2"/>
  <c r="L153" i="2"/>
  <c r="L135" i="2"/>
  <c r="L106" i="2"/>
  <c r="L97" i="2"/>
  <c r="L85" i="2"/>
  <c r="L65" i="2"/>
  <c r="L56" i="2"/>
  <c r="L49" i="2"/>
  <c r="L46" i="2"/>
  <c r="L7" i="2"/>
  <c r="L88" i="2"/>
  <c r="L218" i="2"/>
  <c r="L207" i="2"/>
  <c r="L185" i="2"/>
  <c r="L174" i="2"/>
  <c r="L154" i="2"/>
  <c r="L145" i="2"/>
  <c r="L116" i="2"/>
  <c r="L107" i="2"/>
  <c r="L75" i="2"/>
  <c r="L66" i="2"/>
  <c r="L57" i="2"/>
  <c r="L27" i="2"/>
  <c r="L17" i="2"/>
  <c r="L8" i="2"/>
  <c r="L136" i="2"/>
  <c r="L126" i="2"/>
  <c r="L117" i="2"/>
  <c r="L86" i="2"/>
  <c r="L76" i="2"/>
  <c r="L47" i="2"/>
  <c r="L38" i="2"/>
  <c r="L28" i="2"/>
  <c r="L18" i="2"/>
  <c r="L9" i="2"/>
  <c r="L209" i="2"/>
  <c r="L198" i="2"/>
  <c r="L187" i="2"/>
  <c r="L176" i="2"/>
  <c r="L165" i="2"/>
  <c r="L147" i="2"/>
  <c r="L137" i="2"/>
  <c r="L127" i="2"/>
  <c r="L118" i="2"/>
  <c r="L109" i="2"/>
  <c r="L98" i="2"/>
  <c r="L87" i="2"/>
  <c r="L77" i="2"/>
  <c r="L67" i="2"/>
  <c r="L39" i="2"/>
  <c r="L29" i="2"/>
  <c r="L19" i="2"/>
  <c r="L10" i="2"/>
  <c r="L60" i="2"/>
  <c r="L12" i="2"/>
  <c r="L120" i="2"/>
  <c r="S22" i="2"/>
  <c r="S20" i="2"/>
  <c r="S19" i="2"/>
  <c r="S18" i="2"/>
  <c r="S17" i="2"/>
  <c r="S16" i="2"/>
  <c r="S25" i="2"/>
  <c r="S21" i="2"/>
  <c r="Y24" i="2"/>
  <c r="V20" i="2"/>
  <c r="Y19" i="2"/>
  <c r="V19" i="2"/>
  <c r="Y18" i="2"/>
  <c r="S24" i="2"/>
  <c r="V18" i="2"/>
  <c r="Y17" i="2"/>
  <c r="Y25" i="2"/>
  <c r="Y23" i="2"/>
  <c r="Y21" i="2"/>
  <c r="Y20" i="2"/>
  <c r="S23" i="2"/>
  <c r="V17" i="2"/>
  <c r="Y16" i="2"/>
  <c r="Y22" i="2"/>
  <c r="V1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<sst xmlns="http://schemas.openxmlformats.org/spreadsheetml/2006/main" count="2188" uniqueCount="433">
  <si>
    <t>Order ID</t>
  </si>
  <si>
    <t>Date</t>
  </si>
  <si>
    <t>Product</t>
  </si>
  <si>
    <t>Category</t>
  </si>
  <si>
    <t>Price</t>
  </si>
  <si>
    <t>Quantity</t>
  </si>
  <si>
    <t>Total Sales</t>
  </si>
  <si>
    <t>Customer Name</t>
  </si>
  <si>
    <t>Customer Location</t>
  </si>
  <si>
    <t>Payment Method</t>
  </si>
  <si>
    <t>Status</t>
  </si>
  <si>
    <t>ORD0001</t>
  </si>
  <si>
    <t>14-03-25</t>
  </si>
  <si>
    <t>Running Shoes</t>
  </si>
  <si>
    <t>Footwear</t>
  </si>
  <si>
    <t>Emma Clark</t>
  </si>
  <si>
    <t>New York</t>
  </si>
  <si>
    <t>Debit Card</t>
  </si>
  <si>
    <t>Cancelled</t>
  </si>
  <si>
    <t>ORD0002</t>
  </si>
  <si>
    <t>20-03-25</t>
  </si>
  <si>
    <t>Headphones</t>
  </si>
  <si>
    <t>Electronics</t>
  </si>
  <si>
    <t>Emily Johnson</t>
  </si>
  <si>
    <t>San Francisco</t>
  </si>
  <si>
    <t>Pending</t>
  </si>
  <si>
    <t>ORD0003</t>
  </si>
  <si>
    <t>15-02-25</t>
  </si>
  <si>
    <t>John Doe</t>
  </si>
  <si>
    <t>Denver</t>
  </si>
  <si>
    <t>Amazon Pay</t>
  </si>
  <si>
    <t>ORD0004</t>
  </si>
  <si>
    <t>19-02-25</t>
  </si>
  <si>
    <t>Olivia Wilson</t>
  </si>
  <si>
    <t>Dallas</t>
  </si>
  <si>
    <t>Credit Card</t>
  </si>
  <si>
    <t>ORD0005</t>
  </si>
  <si>
    <t>Smartwatch</t>
  </si>
  <si>
    <t>ORD0006</t>
  </si>
  <si>
    <t>T-Shirt</t>
  </si>
  <si>
    <t>Clothing</t>
  </si>
  <si>
    <t>ORD0007</t>
  </si>
  <si>
    <t>18-03-25</t>
  </si>
  <si>
    <t>Houston</t>
  </si>
  <si>
    <t>PayPal</t>
  </si>
  <si>
    <t>Completed</t>
  </si>
  <si>
    <t>ORD0008</t>
  </si>
  <si>
    <t>Smartphone</t>
  </si>
  <si>
    <t>Sophia Miller</t>
  </si>
  <si>
    <t>Miami</t>
  </si>
  <si>
    <t>ORD0009</t>
  </si>
  <si>
    <t>Boston</t>
  </si>
  <si>
    <t>ORD0010</t>
  </si>
  <si>
    <t>ORD0011</t>
  </si>
  <si>
    <t>17-02-25</t>
  </si>
  <si>
    <t>Book</t>
  </si>
  <si>
    <t>David Lee</t>
  </si>
  <si>
    <t>ORD0012</t>
  </si>
  <si>
    <t>13-03-25</t>
  </si>
  <si>
    <t>Jeans</t>
  </si>
  <si>
    <t>Michael Brown</t>
  </si>
  <si>
    <t>ORD0013</t>
  </si>
  <si>
    <t>Daniel Harris</t>
  </si>
  <si>
    <t>Gift Card</t>
  </si>
  <si>
    <t>ORD0014</t>
  </si>
  <si>
    <t>Washing Machine</t>
  </si>
  <si>
    <t>Home Appliances</t>
  </si>
  <si>
    <t>ORD0015</t>
  </si>
  <si>
    <t>20-02-25</t>
  </si>
  <si>
    <t>Seattle</t>
  </si>
  <si>
    <t>ORD0016</t>
  </si>
  <si>
    <t>26-02-25</t>
  </si>
  <si>
    <t>Refrigerator</t>
  </si>
  <si>
    <t>ORD0017</t>
  </si>
  <si>
    <t>ORD0018</t>
  </si>
  <si>
    <t>Los Angeles</t>
  </si>
  <si>
    <t>ORD0019</t>
  </si>
  <si>
    <t>22-03-25</t>
  </si>
  <si>
    <t>ORD0020</t>
  </si>
  <si>
    <t>ORD0021</t>
  </si>
  <si>
    <t>Chris White</t>
  </si>
  <si>
    <t>ORD0022</t>
  </si>
  <si>
    <t>ORD0023</t>
  </si>
  <si>
    <t>23-02-25</t>
  </si>
  <si>
    <t>Books</t>
  </si>
  <si>
    <t>ORD0024</t>
  </si>
  <si>
    <t>24-03-25</t>
  </si>
  <si>
    <t>ORD0025</t>
  </si>
  <si>
    <t>ORD0026</t>
  </si>
  <si>
    <t>14-02-25</t>
  </si>
  <si>
    <t>ORD0027</t>
  </si>
  <si>
    <t>ORD0028</t>
  </si>
  <si>
    <t>Jane Smith</t>
  </si>
  <si>
    <t>Chicago</t>
  </si>
  <si>
    <t>ORD0029</t>
  </si>
  <si>
    <t>ORD0030</t>
  </si>
  <si>
    <t>ORD0031</t>
  </si>
  <si>
    <t>ORD0032</t>
  </si>
  <si>
    <t>ORD0033</t>
  </si>
  <si>
    <t>ORD0034</t>
  </si>
  <si>
    <t>ORD0035</t>
  </si>
  <si>
    <t>Laptop</t>
  </si>
  <si>
    <t>ORD0036</t>
  </si>
  <si>
    <t>ORD0037</t>
  </si>
  <si>
    <t>16-02-25</t>
  </si>
  <si>
    <t>ORD0038</t>
  </si>
  <si>
    <t>26-03-25</t>
  </si>
  <si>
    <t>ORD0039</t>
  </si>
  <si>
    <t>ORD0040</t>
  </si>
  <si>
    <t>ORD0041</t>
  </si>
  <si>
    <t>ORD0042</t>
  </si>
  <si>
    <t>17-03-25</t>
  </si>
  <si>
    <t>ORD0043</t>
  </si>
  <si>
    <t>ORD0044</t>
  </si>
  <si>
    <t>ORD0045</t>
  </si>
  <si>
    <t>15-03-25</t>
  </si>
  <si>
    <t>ORD0046</t>
  </si>
  <si>
    <t>ORD0047</t>
  </si>
  <si>
    <t>ORD0048</t>
  </si>
  <si>
    <t>ORD0049</t>
  </si>
  <si>
    <t>18-02-25</t>
  </si>
  <si>
    <t>ORD0050</t>
  </si>
  <si>
    <t>ORD0051</t>
  </si>
  <si>
    <t>ORD0052</t>
  </si>
  <si>
    <t>24-02-25</t>
  </si>
  <si>
    <t>ORD0053</t>
  </si>
  <si>
    <t>ORD0054</t>
  </si>
  <si>
    <t>ORD0055</t>
  </si>
  <si>
    <t>ORD0056</t>
  </si>
  <si>
    <t>19-03-25</t>
  </si>
  <si>
    <t>ORD0057</t>
  </si>
  <si>
    <t>ORD0058</t>
  </si>
  <si>
    <t>ORD0059</t>
  </si>
  <si>
    <t>ORD0060</t>
  </si>
  <si>
    <t>ORD0061</t>
  </si>
  <si>
    <t>ORD0062</t>
  </si>
  <si>
    <t>ORD0063</t>
  </si>
  <si>
    <t>30-03-25</t>
  </si>
  <si>
    <t>ORD0064</t>
  </si>
  <si>
    <t>13-02-25</t>
  </si>
  <si>
    <t>ORD0065</t>
  </si>
  <si>
    <t>16-03-25</t>
  </si>
  <si>
    <t>ORD0066</t>
  </si>
  <si>
    <t>ORD0067</t>
  </si>
  <si>
    <t>31-03-25</t>
  </si>
  <si>
    <t>ORD0068</t>
  </si>
  <si>
    <t>ORD0069</t>
  </si>
  <si>
    <t>25-02-25</t>
  </si>
  <si>
    <t>ORD0070</t>
  </si>
  <si>
    <t>ORD0071</t>
  </si>
  <si>
    <t>ORD0072</t>
  </si>
  <si>
    <t>ORD0073</t>
  </si>
  <si>
    <t>ORD0074</t>
  </si>
  <si>
    <t>25-03-25</t>
  </si>
  <si>
    <t>ORD0075</t>
  </si>
  <si>
    <t>ORD0076</t>
  </si>
  <si>
    <t>ORD0077</t>
  </si>
  <si>
    <t>ORD0078</t>
  </si>
  <si>
    <t>ORD0079</t>
  </si>
  <si>
    <t>ORD0080</t>
  </si>
  <si>
    <t>ORD0081</t>
  </si>
  <si>
    <t>ORD0082</t>
  </si>
  <si>
    <t>ORD0083</t>
  </si>
  <si>
    <t>28-02-25</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</si>
  <si>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</si>
  <si>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</si>
  <si>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</si>
  <si>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</si>
  <si>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</si>
  <si>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</si>
  <si>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</si>
  <si>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</si>
  <si>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</si>
  <si>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</si>
  <si>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</si>
  <si>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</si>
  <si>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</si>
  <si>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</si>
  <si>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</si>
  <si>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</si>
  <si>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</si>
  <si>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</si>
  <si>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</si>
  <si>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</si>
  <si>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</si>
  <si>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22-02-25</t>
  </si>
  <si>
    <t>ORD0105</t>
  </si>
  <si>
    <t>ORD0106</t>
  </si>
  <si>
    <t>ORD0107</t>
  </si>
  <si>
    <t>ORD0108</t>
  </si>
  <si>
    <t>ORD0109</t>
  </si>
  <si>
    <t>ORD0110</t>
  </si>
  <si>
    <t>ORD0111</t>
  </si>
  <si>
    <t>ORD0112</t>
  </si>
  <si>
    <t>ORD0113</t>
  </si>
  <si>
    <t>ORD0114</t>
  </si>
  <si>
    <t>ORD0115</t>
  </si>
  <si>
    <t>21-03-25</t>
  </si>
  <si>
    <t>ORD0116</t>
  </si>
  <si>
    <t>ORD0117</t>
  </si>
  <si>
    <t>27-02-25</t>
  </si>
  <si>
    <t>ORD0118</t>
  </si>
  <si>
    <t>ORD0119</t>
  </si>
  <si>
    <t>ORD0120</t>
  </si>
  <si>
    <t>ORD0121</t>
  </si>
  <si>
    <t>ORD0122</t>
  </si>
  <si>
    <t>28-03-25</t>
  </si>
  <si>
    <t>ORD0123</t>
  </si>
  <si>
    <t>ORD0124</t>
  </si>
  <si>
    <t>ORD0125</t>
  </si>
  <si>
    <t>ORD0126</t>
  </si>
  <si>
    <t>ORD0127</t>
  </si>
  <si>
    <t>ORD0128</t>
  </si>
  <si>
    <t>23-03-25</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</si>
  <si>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</si>
  <si>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</si>
  <si>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</si>
  <si>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</si>
  <si>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</si>
  <si>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</si>
  <si>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</si>
  <si>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</si>
  <si>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</si>
  <si>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</si>
  <si>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</si>
  <si>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</si>
  <si>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</si>
  <si>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</si>
  <si>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</si>
  <si>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</si>
  <si>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</si>
  <si>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</si>
  <si>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</si>
  <si>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</si>
  <si>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</si>
  <si>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</si>
  <si>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</si>
  <si>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29-03-25</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</si>
  <si>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</si>
  <si>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</si>
  <si>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</si>
  <si>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</si>
  <si>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</si>
  <si>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</si>
  <si>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</si>
  <si>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</si>
  <si>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</si>
  <si>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</si>
  <si>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</si>
  <si>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</si>
  <si>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</si>
  <si>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</si>
  <si>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</si>
  <si>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</si>
  <si>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</si>
  <si>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</si>
  <si>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</si>
  <si>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</si>
  <si>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</si>
  <si>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</si>
  <si>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</si>
  <si>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</si>
  <si>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</si>
  <si>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27-03-25</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</si>
  <si>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</si>
  <si>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</si>
  <si>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</si>
  <si>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</si>
  <si>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</si>
  <si>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</si>
  <si>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</si>
  <si>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</si>
  <si>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</si>
  <si>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</si>
  <si>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</si>
  <si>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</si>
  <si>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</si>
  <si>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</si>
  <si>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</si>
  <si>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</si>
  <si>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</si>
  <si>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</si>
  <si>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</si>
  <si>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</si>
  <si>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</si>
  <si>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</si>
  <si>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</si>
  <si>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</si>
  <si>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</si>
  <si>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</si>
  <si>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21-02-25</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</si>
  <si>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</si>
  <si>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</si>
  <si>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</si>
  <si>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</si>
  <si>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</si>
  <si>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</si>
  <si>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</si>
  <si>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</si>
  <si>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</si>
  <si>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</si>
  <si>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</si>
  <si>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</si>
  <si>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</si>
  <si>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</si>
  <si>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</si>
  <si>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</si>
  <si>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</si>
  <si>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</si>
  <si>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</si>
  <si>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</si>
  <si>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</si>
  <si>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</si>
  <si>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</si>
  <si>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</si>
  <si>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</si>
  <si>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</si>
  <si>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</si>
  <si>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</si>
  <si>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</si>
  <si>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</si>
  <si>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</si>
  <si>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</si>
  <si>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</si>
  <si>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</si>
  <si>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</si>
  <si>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</si>
  <si>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</si>
  <si>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</si>
  <si>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</si>
  <si>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</si>
  <si>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</si>
  <si>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</si>
  <si>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</si>
  <si>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</si>
  <si>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</si>
  <si>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</si>
  <si>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</si>
  <si>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</si>
  <si>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Columns</t>
  </si>
  <si>
    <t>NULL</t>
  </si>
  <si>
    <t>AVE</t>
  </si>
  <si>
    <t>MEDIAN</t>
  </si>
  <si>
    <t>MODE</t>
  </si>
  <si>
    <t>PRODUCT</t>
  </si>
  <si>
    <t>CATEGORY</t>
  </si>
  <si>
    <t>LOCATION</t>
  </si>
  <si>
    <t>Column1</t>
  </si>
  <si>
    <t>Duplicate</t>
  </si>
  <si>
    <t>Date_text</t>
  </si>
  <si>
    <t>Date_</t>
  </si>
  <si>
    <t>Month</t>
  </si>
  <si>
    <t>Year</t>
  </si>
  <si>
    <t>Grand Total</t>
  </si>
  <si>
    <t>Total_Sales</t>
  </si>
  <si>
    <t>Total_sales</t>
  </si>
  <si>
    <t>15-34</t>
  </si>
  <si>
    <t>35-54</t>
  </si>
  <si>
    <t>55-74</t>
  </si>
  <si>
    <t>95-114</t>
  </si>
  <si>
    <t>135-154</t>
  </si>
  <si>
    <t>495-514</t>
  </si>
  <si>
    <t>595-614</t>
  </si>
  <si>
    <t>795-814</t>
  </si>
  <si>
    <t>1195-1214</t>
  </si>
  <si>
    <t>Quantity_</t>
  </si>
  <si>
    <t>1-1</t>
  </si>
  <si>
    <t>2-2</t>
  </si>
  <si>
    <t>3-3</t>
  </si>
  <si>
    <t>4-5</t>
  </si>
  <si>
    <t>Total Status</t>
  </si>
  <si>
    <t>Total Payment Method</t>
  </si>
  <si>
    <t>Location</t>
  </si>
  <si>
    <t>01</t>
  </si>
  <si>
    <t>02</t>
  </si>
  <si>
    <t>03</t>
  </si>
  <si>
    <t>04</t>
  </si>
  <si>
    <t>05</t>
  </si>
  <si>
    <t>06</t>
  </si>
  <si>
    <t>07</t>
  </si>
  <si>
    <t>08</t>
  </si>
  <si>
    <t>09</t>
  </si>
  <si>
    <t>10</t>
  </si>
  <si>
    <t>11</t>
  </si>
  <si>
    <t>12</t>
  </si>
  <si>
    <t>KPIS</t>
  </si>
  <si>
    <t>GMV</t>
  </si>
  <si>
    <t>Total order</t>
  </si>
  <si>
    <t>AOV</t>
  </si>
  <si>
    <t>Distribution</t>
  </si>
  <si>
    <t xml:space="preserve"> </t>
  </si>
  <si>
    <t>Can</t>
  </si>
  <si>
    <t>pen</t>
  </si>
  <si>
    <t>Com</t>
  </si>
  <si>
    <t>15-114</t>
  </si>
  <si>
    <t>115-214</t>
  </si>
  <si>
    <t>215-314</t>
  </si>
  <si>
    <t>315-414</t>
  </si>
  <si>
    <t>415-514</t>
  </si>
  <si>
    <t>515-614</t>
  </si>
  <si>
    <t>715-814</t>
  </si>
  <si>
    <t>915-1014</t>
  </si>
  <si>
    <t>1115-1214</t>
  </si>
  <si>
    <t>1415-1514</t>
  </si>
  <si>
    <t>1515-1614</t>
  </si>
  <si>
    <t>1715-1814</t>
  </si>
  <si>
    <t>1915-2014</t>
  </si>
  <si>
    <t>2315-2414</t>
  </si>
  <si>
    <t>2415-2514</t>
  </si>
  <si>
    <t>2915-3014</t>
  </si>
  <si>
    <t>3115-3214</t>
  </si>
  <si>
    <t>3515-3614</t>
  </si>
  <si>
    <t>3915-4014</t>
  </si>
  <si>
    <t>4715-4814</t>
  </si>
  <si>
    <t>5915-6014</t>
  </si>
  <si>
    <t>INSIGHT</t>
  </si>
  <si>
    <t xml:space="preserve">* Doanh thu tăng mạnh ở tháng 2 và tháng 3 với lần lượt doanh thu là 66750$ và 71330$, doanh thu tháng 2 và tháng 3 chiếm 65% tổng số doanh thu, trong khi đó doanh số giảm mạnh ở tháng 1 với doanh thu là 520$ trong khi các tháng khác doanh thu đều trên 2000$ </t>
  </si>
  <si>
    <t>* Trong 5 nhóm sản phẩm mà công ty đang kinh doanh, hai nhóm sản phẩm mang lại doanh thu tốt nhất là Electronics và Home appliances với doanh thu lần lượt là 124115$ chiếm 58% tổng doanh thu và 81600$ chiếm 38,3% tổng doanh thu, riêng hai nhóm sản phẩm này đã chiếm hơn 96% tổng doanh thu, 3 nhóm sản phẩm còn lại là Footwear, clothing và books mang lại doanh thu rất thấp dao động từ 900$ - dưới 3000$, cả ba nhóm sản phẩm này mới chiếm đến 4% tổng doanh thu</t>
  </si>
  <si>
    <t>* Ba sản phẩm mà công ty đang kinh doanh tốt nhất là Refrigerator, Laptop và Smartphone, với lần lượt doanh thu là 64800,56000 và 39000. Ba sản phẩm phẩm đang có tình hình kinh doanh tệ nhất là Book, T-shift và running shoes với doanh thu lần lượt là 945$, 1000$ và 1960$</t>
  </si>
  <si>
    <t xml:space="preserve">* Top 3 khách hàng mua hàng nhiều nhất là Olivia Wilson, Emma Clark và Jane Smith với số tiền mua lần lượt là 32640$, 29400$ và 26885$ </t>
  </si>
  <si>
    <t>* Tỷ lệ chờ để xử lý đơn hàng (trạng thái pend) rất cao lên đến 35%, tỷ lệ hủy hàng rất cao lên đến 30% điều đó dẫn đến tỷ lệ hoàn thành đơn hàng chỉ có 35% đây là con số rất thấp, điều này cho thấy hệ thống xử lý đơn hàng đang hoạt động rất kém hiệu quả, trong thương mại điện tử con số đạt yêu cầu là tỷ lệ hoàn thành đơn hàng phải trên 90% và tỷ lệ hủy và pend chỉ ở mức dưới 5%</t>
  </si>
  <si>
    <t>* Tỷ lẹ các thương thức thanh toán tương đương nhau, chênh nhau không quá nhiều cho thấy rằng khách hàng họ không ưu tiên sử dụng một phương thức thanh toán cụ thể nào cả, mà đa dạng về phương thức thanh toán</t>
  </si>
  <si>
    <t xml:space="preserve">* Doanh số tại các khu vực theo từng bang tương đương nhau, chênh lệch khá thấp, không có 1 bang nào vượt lên về doanh số, điều này cho thấy khách hàng của công ty phân bố và trải dài trên khắp tất cả các bang chứ không tạp trung riêng tại 1 bang nào cả  </t>
  </si>
  <si>
    <t>* Phân phối về giá sản phẩm thì đa dạng hơn, nó không tập chung nhiều tại 1 khoảng như giá giao dịch mà trải dài từ 15$ đến 1200$, có 1 số điểm nhiều hơn rõ ràng là ở mức 15$-34$ và 125$-154$ điều này là dễ hiểu vì nhìn vào sản lượng bán thì chủ yếu công ty bán được các sản phẩm Electronic và Home apliance nên là hai khoảng này hiều hơn là điều bình thường, còn lại giá sản phẩm trải dài từ 34$-1000$</t>
  </si>
  <si>
    <t>* Các giao dịch mua hàng phần lớn có giá giao động từ 15$-300$, và nhiều nhất ở mức 15-100$,chỉ nguyên giao dịch ở khoảng 15$-300$ đã chiếm hơn 50% tổng số giao dịch, trên 300$ là các giao dịch giảm đi đang kể</t>
  </si>
  <si>
    <t xml:space="preserve">* Tổng sản lượng bán của home appliances và clothing đều chiếm khoảng 30% tổng sản lượng bán (88 và 90), thậm chí home appliances còn kém clothing 2 sản phẩm, tuy nhiên doanh thu của Home appliances lại chiếm đến gần 40% tổng doanh thu trong khi clothing chỉ chiếm có 1,2% tổng doanh số, điều này là bất thường vì đặc thù giá sản phẩm của cả đồ gia dụng và quần áo dều tương tương nhau thậm chí quần áo còn có giá cao hơn, điều này cho thấy tỷ lệ chuyển đổi của nhóm sản phẩm clothing là rất thấp   </t>
  </si>
  <si>
    <t>RECOMENDATIONS</t>
  </si>
  <si>
    <t>* Có thể nghiên cứu loại bỏ các nhóm sản phẩm có tình hình kinh doanh không hiệu quả (footwear, book) để tập chung vào các nhóm sản phẩm có tình hình kinh doanh tốt và được yêu thích, chấp nhận bởi thị trường (Home appliance và Electronics)</t>
  </si>
  <si>
    <t xml:space="preserve">* Nên tạo các chiên dịch marketing nhắm vào các khách hàng tiềm năng bên trên, cho họ những quyền lợi như mã giảm giá, gợi ý những sản phẩm liên quan để tối ưu doanh số từ khách hàng    </t>
  </si>
  <si>
    <t xml:space="preserve">* Hệ thống xử lý đơn hàng đang làm việc vô cùng tệ, cần cải thiện hệ thống xử lý đơn hàng ngay để tăng tỷ lệ hoàn thành đơn hàng và giảm tỷ lệ xử lý và hủy hàng </t>
  </si>
  <si>
    <t xml:space="preserve">* Có thể tạo các chiến dịch marketing, sales theo phương án mua combo sẽ được giảm giá, dể tận dụng tối ưu thói quen mua hàng tập chung ở mức giá từ 15$ đến 300$ của khách hàng </t>
  </si>
  <si>
    <t>* Cần nghiên cứu lại về các sản phầm thuộc nhóm clothing, nhóm sản phẩm này có sản lượng bán tốt nhưng doanh số lại quá thấp, cần có phương án để tăng tỷ lệ chuyển đổi, như cân bằng lại về giá, giảm giá nhập vào, tối ưu chi phí vận hành</t>
  </si>
  <si>
    <t xml:space="preserve">* Tháng 2 và tháng 3 doanh số tăng mạnh rất đáng ấn tượng, tuy nhiên doanh số các tháng khác thì lại rất thấp, doanh số tháng 1 thậm chí còn dưới 1000$, điều này là ko hợp lý vì sản phẩm của công ty là sản phẩm bán quanh năm, không phải loại sản phẩm bán theo màu vụ, cần nghiên cứu lại về thị trường, các chiến dịch marketing, để đảm bảo doanh số tăng đều phát triển bền vững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</si>
</sst>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Times New Roman"/>
      <family val="1"/>
    </font>
    <font>
      <sz val="14"/>
      <color theme="1"/>
      <name val="Times New Roman"/>
      <family val="1"/>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5"/>
        <bgColor theme="5"/>
      </patternFill>
    </fill>
    <fill>
      <patternFill patternType="solid">
        <fgColor theme="5" tint="0.79998168889431442"/>
        <bgColor theme="5" tint="0.79998168889431442"/>
      </patternFill>
    </fill>
    <fill>
      <patternFill patternType="solid">
        <fgColor theme="7"/>
        <bgColor theme="7"/>
      </patternFill>
    </fill>
    <fill>
      <patternFill patternType="solid">
        <fgColor theme="7" tint="0.79998168889431442"/>
        <bgColor theme="7" tint="0.79998168889431442"/>
      </patternFill>
    </fill>
    <fill>
      <patternFill patternType="solid">
        <fgColor theme="0" tint="-4.9989318521683403E-2"/>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5" tint="0.39997558519241921"/>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right style="thin">
        <color theme="5" tint="0.39997558519241921"/>
      </right>
      <top style="thin">
        <color theme="5" tint="0.39997558519241921"/>
      </top>
      <bottom/>
      <diagonal/>
    </border>
    <border>
      <left style="thin">
        <color theme="7" tint="0.39997558519241921"/>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style="thin">
        <color theme="7" tint="0.39997558519241921"/>
      </left>
      <right/>
      <top style="thin">
        <color theme="7" tint="0.39997558519241921"/>
      </top>
      <bottom/>
      <diagonal/>
    </border>
    <border>
      <left/>
      <right style="thin">
        <color theme="7" tint="0.39997558519241921"/>
      </right>
      <top style="thin">
        <color theme="7"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14" fontId="0" fillId="0" borderId="0" xfId="0" applyNumberFormat="1"/>
    <xf numFmtId="0" fontId="0" fillId="36" borderId="10" xfId="0" applyFont="1" applyFill="1" applyBorder="1"/>
    <xf numFmtId="0" fontId="0" fillId="36" borderId="11" xfId="0" applyFont="1" applyFill="1" applyBorder="1"/>
    <xf numFmtId="0" fontId="13" fillId="35" borderId="12" xfId="0" applyFont="1" applyFill="1" applyBorder="1"/>
    <xf numFmtId="0" fontId="13" fillId="35" borderId="13" xfId="0" applyFont="1" applyFill="1" applyBorder="1"/>
    <xf numFmtId="0" fontId="0" fillId="36" borderId="12" xfId="0" applyFont="1" applyFill="1" applyBorder="1"/>
    <xf numFmtId="0" fontId="0" fillId="36" borderId="13" xfId="0" applyFont="1" applyFill="1" applyBorder="1"/>
    <xf numFmtId="0" fontId="0" fillId="0" borderId="12" xfId="0" applyFont="1" applyBorder="1"/>
    <xf numFmtId="0" fontId="0" fillId="0" borderId="13" xfId="0" applyFont="1" applyBorder="1"/>
    <xf numFmtId="0" fontId="0" fillId="38" borderId="14" xfId="0" applyFont="1" applyFill="1" applyBorder="1"/>
    <xf numFmtId="0" fontId="0" fillId="38" borderId="15" xfId="0" applyFont="1" applyFill="1" applyBorder="1"/>
    <xf numFmtId="0" fontId="13" fillId="37" borderId="16" xfId="0" applyFont="1" applyFill="1" applyBorder="1"/>
    <xf numFmtId="0" fontId="13" fillId="37" borderId="17" xfId="0" applyFont="1" applyFill="1" applyBorder="1"/>
    <xf numFmtId="0" fontId="0" fillId="38" borderId="16" xfId="0" applyFont="1" applyFill="1" applyBorder="1"/>
    <xf numFmtId="0" fontId="0" fillId="38" borderId="17" xfId="0" applyFont="1" applyFill="1" applyBorder="1"/>
    <xf numFmtId="0" fontId="0" fillId="0" borderId="16" xfId="0" applyFont="1" applyBorder="1"/>
    <xf numFmtId="0" fontId="0" fillId="0" borderId="17" xfId="0" applyFont="1" applyBorder="1"/>
    <xf numFmtId="0" fontId="0" fillId="34" borderId="18" xfId="0" applyFont="1" applyFill="1" applyBorder="1"/>
    <xf numFmtId="0" fontId="0" fillId="34" borderId="19" xfId="0" applyFont="1" applyFill="1" applyBorder="1"/>
    <xf numFmtId="0" fontId="13" fillId="33" borderId="20" xfId="0" applyFont="1" applyFill="1" applyBorder="1"/>
    <xf numFmtId="0" fontId="13" fillId="33" borderId="21" xfId="0" applyFont="1" applyFill="1" applyBorder="1"/>
    <xf numFmtId="0" fontId="0" fillId="34" borderId="20" xfId="0" applyFont="1" applyFill="1" applyBorder="1"/>
    <xf numFmtId="0" fontId="0" fillId="34" borderId="21" xfId="0" applyFont="1" applyFill="1" applyBorder="1"/>
    <xf numFmtId="0" fontId="0" fillId="0" borderId="20" xfId="0" applyFont="1" applyBorder="1"/>
    <xf numFmtId="0" fontId="0" fillId="0" borderId="21" xfId="0" applyFont="1"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xf numFmtId="0" fontId="0" fillId="39" borderId="0" xfId="0" applyFill="1"/>
    <xf numFmtId="2" fontId="0" fillId="0" borderId="0" xfId="0" applyNumberFormat="1"/>
    <xf numFmtId="0" fontId="18" fillId="39" borderId="0" xfId="0" applyFont="1" applyFill="1"/>
    <xf numFmtId="0" fontId="19" fillId="39" borderId="0" xfId="0" applyFont="1" applyFill="1"/>
    <xf numFmtId="0" fontId="19" fillId="39"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2" formatCode="0.00"/>
    </dxf>
    <dxf>
      <numFmt numFmtId="0" formatCode="General"/>
    </dxf>
    <dxf>
      <numFmt numFmtId="0" formatCode="General"/>
    </dxf>
    <dxf>
      <numFmt numFmtId="0" formatCode="General"/>
    </dxf>
    <dxf>
      <numFmt numFmtId="19" formatCode="m/d/yyyy"/>
    </dxf>
    <dxf>
      <numFmt numFmtId="19" formatCode="m/d/yyyy"/>
    </dxf>
    <dxf>
      <font>
        <color rgb="FF2278B9"/>
      </font>
    </dxf>
  </dxfs>
  <tableStyles count="1" defaultTableStyle="TableStyleMedium2" defaultPivotStyle="PivotStyleLight16">
    <tableStyle name="Slicer Style 1" pivot="0" table="0" count="1" xr9:uid="{2521E15C-80E8-432E-A65A-D622BBE6BA25}">
      <tableStyleElement type="wholeTable" dxfId="7"/>
    </tableStyle>
  </tableStyles>
  <colors>
    <mruColors>
      <color rgb="FF2278B9"/>
      <color rgb="FFF0624A"/>
      <color rgb="FFF3B0A3"/>
      <color rgb="FFF48A78"/>
      <color rgb="FFDF3F13"/>
      <color rgb="FFF05E46"/>
      <color rgb="FF0000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278B9"/>
                </a:solidFill>
                <a:latin typeface="Times New Roman" panose="02020603050405020304" pitchFamily="18" charset="0"/>
                <a:cs typeface="Times New Roman" panose="02020603050405020304" pitchFamily="18" charset="0"/>
              </a:rPr>
              <a:t>Tổng</a:t>
            </a:r>
            <a:r>
              <a:rPr lang="en-US" b="1" baseline="0">
                <a:solidFill>
                  <a:srgbClr val="2278B9"/>
                </a:solidFill>
                <a:latin typeface="Times New Roman" panose="02020603050405020304" pitchFamily="18" charset="0"/>
                <a:cs typeface="Times New Roman" panose="02020603050405020304" pitchFamily="18" charset="0"/>
              </a:rPr>
              <a:t> Doanh Thu Theo Category</a:t>
            </a:r>
            <a:endParaRPr lang="en-US" b="1">
              <a:solidFill>
                <a:srgbClr val="2278B9"/>
              </a:solidFill>
              <a:latin typeface="Times New Roman" panose="02020603050405020304" pitchFamily="18" charset="0"/>
              <a:cs typeface="Times New Roman" panose="02020603050405020304" pitchFamily="18" charset="0"/>
            </a:endParaRPr>
          </a:p>
        </c:rich>
      </c:tx>
      <c:layout>
        <c:manualLayout>
          <c:xMode val="edge"/>
          <c:yMode val="edge"/>
          <c:x val="0.1719800361849410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78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278B9"/>
          </a:solidFill>
          <a:ln>
            <a:noFill/>
          </a:ln>
          <a:effectLst/>
        </c:spPr>
        <c:dLbl>
          <c:idx val="0"/>
          <c:layout>
            <c:manualLayout>
              <c:x val="6.683373345865066E-3"/>
              <c:y val="-0.304792558824883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278B9"/>
          </a:solidFill>
          <a:ln>
            <a:noFill/>
          </a:ln>
          <a:effectLst/>
        </c:spPr>
        <c:dLbl>
          <c:idx val="0"/>
          <c:layout>
            <c:manualLayout>
              <c:x val="-3.0631773974348164E-17"/>
              <c:y val="-0.183527651148869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Data_analysis!$B$3</c:f>
              <c:strCache>
                <c:ptCount val="1"/>
                <c:pt idx="0">
                  <c:v>Total</c:v>
                </c:pt>
              </c:strCache>
            </c:strRef>
          </c:tx>
          <c:spPr>
            <a:solidFill>
              <a:srgbClr val="2278B9"/>
            </a:solidFill>
            <a:ln>
              <a:noFill/>
            </a:ln>
            <a:effectLst/>
          </c:spPr>
          <c:invertIfNegative val="0"/>
          <c:dPt>
            <c:idx val="0"/>
            <c:invertIfNegative val="0"/>
            <c:bubble3D val="0"/>
            <c:spPr>
              <a:solidFill>
                <a:srgbClr val="2278B9"/>
              </a:solidFill>
              <a:ln>
                <a:noFill/>
              </a:ln>
              <a:effectLst/>
            </c:spPr>
            <c:extLst>
              <c:ext xmlns:c16="http://schemas.microsoft.com/office/drawing/2014/chart" uri="{C3380CC4-5D6E-409C-BE32-E72D297353CC}">
                <c16:uniqueId val="{00000002-DB8F-4612-A74E-5434B6AF52DF}"/>
              </c:ext>
            </c:extLst>
          </c:dPt>
          <c:dPt>
            <c:idx val="1"/>
            <c:invertIfNegative val="0"/>
            <c:bubble3D val="0"/>
            <c:spPr>
              <a:solidFill>
                <a:srgbClr val="2278B9"/>
              </a:solidFill>
              <a:ln>
                <a:noFill/>
              </a:ln>
              <a:effectLst/>
            </c:spPr>
            <c:extLst>
              <c:ext xmlns:c16="http://schemas.microsoft.com/office/drawing/2014/chart" uri="{C3380CC4-5D6E-409C-BE32-E72D297353CC}">
                <c16:uniqueId val="{00000003-DB8F-4612-A74E-5434B6AF52DF}"/>
              </c:ext>
            </c:extLst>
          </c:dPt>
          <c:dLbls>
            <c:dLbl>
              <c:idx val="0"/>
              <c:layout>
                <c:manualLayout>
                  <c:x val="6.683373345865066E-3"/>
                  <c:y val="-0.304792558824883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8F-4612-A74E-5434B6AF52DF}"/>
                </c:ext>
              </c:extLst>
            </c:dLbl>
            <c:dLbl>
              <c:idx val="1"/>
              <c:layout>
                <c:manualLayout>
                  <c:x val="-3.0631773974348164E-17"/>
                  <c:y val="-0.183527651148869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8F-4612-A74E-5434B6AF52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Data_analysis!$A$4:$A$9</c:f>
              <c:strCache>
                <c:ptCount val="5"/>
                <c:pt idx="0">
                  <c:v>Electronics</c:v>
                </c:pt>
                <c:pt idx="1">
                  <c:v>Home Appliances</c:v>
                </c:pt>
                <c:pt idx="2">
                  <c:v>Footwear</c:v>
                </c:pt>
                <c:pt idx="3">
                  <c:v>Clothing</c:v>
                </c:pt>
                <c:pt idx="4">
                  <c:v>Books</c:v>
                </c:pt>
              </c:strCache>
            </c:strRef>
          </c:cat>
          <c:val>
            <c:numRef>
              <c:f>Data_analysis!$B$4:$B$9</c:f>
              <c:numCache>
                <c:formatCode>General</c:formatCode>
                <c:ptCount val="5"/>
                <c:pt idx="0">
                  <c:v>124115</c:v>
                </c:pt>
                <c:pt idx="1">
                  <c:v>81600</c:v>
                </c:pt>
                <c:pt idx="2">
                  <c:v>3540</c:v>
                </c:pt>
                <c:pt idx="3">
                  <c:v>2660</c:v>
                </c:pt>
                <c:pt idx="4">
                  <c:v>900</c:v>
                </c:pt>
              </c:numCache>
            </c:numRef>
          </c:val>
          <c:extLst>
            <c:ext xmlns:c16="http://schemas.microsoft.com/office/drawing/2014/chart" uri="{C3380CC4-5D6E-409C-BE32-E72D297353CC}">
              <c16:uniqueId val="{00000000-DB8F-4612-A74E-5434B6AF52DF}"/>
            </c:ext>
          </c:extLst>
        </c:ser>
        <c:dLbls>
          <c:dLblPos val="inBase"/>
          <c:showLegendKey val="0"/>
          <c:showVal val="1"/>
          <c:showCatName val="0"/>
          <c:showSerName val="0"/>
          <c:showPercent val="0"/>
          <c:showBubbleSize val="0"/>
        </c:dLbls>
        <c:gapWidth val="150"/>
        <c:overlap val="100"/>
        <c:axId val="599003391"/>
        <c:axId val="599005471"/>
      </c:barChart>
      <c:catAx>
        <c:axId val="599003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05471"/>
        <c:crosses val="autoZero"/>
        <c:auto val="1"/>
        <c:lblAlgn val="ctr"/>
        <c:lblOffset val="100"/>
        <c:noMultiLvlLbl val="0"/>
      </c:catAx>
      <c:valAx>
        <c:axId val="59900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03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[Sales_amazon.xlsx]Data_analysis!PivotTable4</c:name>
    <c:fmtId val="3"/>
  </c:pivotSource>
  <c:chart>
    <c:title>
      <c:tx>
        <c:rich>
          <a:bodyPr rot="0" spcFirstLastPara="1" vertOverflow="ellipsis" vert="horz" wrap="square" anchor="ctr" anchorCtr="1"/>
          <a:lstStyle/>
          <a:p>
            <a:pPr>
              <a:defRPr lang="en-US" sz="1400" b="1" i="0" u="none" strike="noStrike" kern="1200" spc="0" baseline="0">
                <a:solidFill>
                  <a:srgbClr val="2278B9"/>
                </a:solidFill>
                <a:latin typeface="+mn-lt"/>
                <a:ea typeface="+mn-ea"/>
                <a:cs typeface="+mn-cs"/>
              </a:defRPr>
            </a:pPr>
            <a:r>
              <a:rPr lang="en-US" sz="1400" b="1">
                <a:solidFill>
                  <a:srgbClr val="2278B9"/>
                </a:solidFill>
                <a:latin typeface="Times New Roman" panose="02020603050405020304" pitchFamily="18" charset="0"/>
                <a:cs typeface="Times New Roman" panose="02020603050405020304" pitchFamily="18" charset="0"/>
              </a:rPr>
              <a:t>Tổng</a:t>
            </a:r>
            <a:r>
              <a:rPr lang="en-US" sz="1400" b="1" baseline="0">
                <a:solidFill>
                  <a:srgbClr val="2278B9"/>
                </a:solidFill>
                <a:latin typeface="Times New Roman" panose="02020603050405020304" pitchFamily="18" charset="0"/>
                <a:cs typeface="Times New Roman" panose="02020603050405020304" pitchFamily="18" charset="0"/>
              </a:rPr>
              <a:t> Doanh Thu Theo Product</a:t>
            </a:r>
            <a:endParaRPr lang="en-US" sz="1400" b="1">
              <a:solidFill>
                <a:srgbClr val="2278B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rgbClr val="2278B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78B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278B9"/>
          </a:solidFill>
          <a:ln>
            <a:noFill/>
          </a:ln>
          <a:effectLst/>
        </c:spPr>
        <c:dLbl>
          <c:idx val="0"/>
          <c:layout>
            <c:manualLayout>
              <c:x val="0"/>
              <c:y val="-0.25702543991339605"/>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278B9"/>
          </a:solidFill>
          <a:ln>
            <a:noFill/>
          </a:ln>
          <a:effectLst/>
        </c:spPr>
        <c:dLbl>
          <c:idx val="0"/>
          <c:layout>
            <c:manualLayout>
              <c:x val="9.4443544765473817E-3"/>
              <c:y val="-0.19756079128241269"/>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278B9"/>
          </a:solidFill>
          <a:ln>
            <a:noFill/>
          </a:ln>
          <a:effectLst/>
        </c:spPr>
        <c:dLbl>
          <c:idx val="0"/>
          <c:layout>
            <c:manualLayout>
              <c:x val="8.3333333333333332E-3"/>
              <c:y val="-0.18055555555555561"/>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278B9"/>
          </a:solidFill>
          <a:ln>
            <a:noFill/>
          </a:ln>
          <a:effectLst/>
        </c:spPr>
        <c:dLbl>
          <c:idx val="0"/>
          <c:layout>
            <c:manualLayout>
              <c:x val="0"/>
              <c:y val="-0.125"/>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278B9"/>
          </a:solidFill>
          <a:ln>
            <a:noFill/>
          </a:ln>
          <a:effectLst/>
        </c:spPr>
        <c:dLbl>
          <c:idx val="0"/>
          <c:layout>
            <c:manualLayout>
              <c:x val="-5.5555555555555558E-3"/>
              <c:y val="-9.7222222222222224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278B9"/>
          </a:solidFill>
          <a:ln>
            <a:noFill/>
          </a:ln>
          <a:effectLst/>
        </c:spPr>
        <c:dLbl>
          <c:idx val="0"/>
          <c:layout>
            <c:manualLayout>
              <c:x val="0"/>
              <c:y val="-6.4814814814814894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278B9"/>
          </a:solidFill>
          <a:ln>
            <a:noFill/>
          </a:ln>
          <a:effectLst/>
        </c:spPr>
        <c:dLbl>
          <c:idx val="0"/>
          <c:layout>
            <c:manualLayout>
              <c:x val="0"/>
              <c:y val="-5.5555555555555552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278B9"/>
          </a:solidFill>
          <a:ln>
            <a:noFill/>
          </a:ln>
          <a:effectLst/>
        </c:spPr>
        <c:dLbl>
          <c:idx val="0"/>
          <c:layout>
            <c:manualLayout>
              <c:x val="0"/>
              <c:y val="-4.629629629629621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278B9"/>
          </a:solidFill>
          <a:ln>
            <a:noFill/>
          </a:ln>
          <a:effectLst/>
        </c:spPr>
        <c:dLbl>
          <c:idx val="0"/>
          <c:layout>
            <c:manualLayout>
              <c:x val="-1.0185067526415994E-16"/>
              <c:y val="-2.7777777777777776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278B9"/>
          </a:solidFill>
          <a:ln>
            <a:noFill/>
          </a:ln>
          <a:effectLst/>
        </c:spPr>
        <c:dLbl>
          <c:idx val="0"/>
          <c:layout>
            <c:manualLayout>
              <c:x val="0"/>
              <c:y val="-3.7037037037037125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Data_analysis!$B$11</c:f>
              <c:strCache>
                <c:ptCount val="1"/>
                <c:pt idx="0">
                  <c:v>Total</c:v>
                </c:pt>
              </c:strCache>
            </c:strRef>
          </c:tx>
          <c:spPr>
            <a:solidFill>
              <a:srgbClr val="2278B9"/>
            </a:solidFill>
            <a:ln>
              <a:noFill/>
            </a:ln>
            <a:effectLst/>
          </c:spPr>
          <c:invertIfNegative val="0"/>
          <c:dPt>
            <c:idx val="0"/>
            <c:invertIfNegative val="0"/>
            <c:bubble3D val="0"/>
            <c:spPr>
              <a:solidFill>
                <a:srgbClr val="2278B9"/>
              </a:solidFill>
              <a:ln>
                <a:noFill/>
              </a:ln>
              <a:effectLst/>
            </c:spPr>
            <c:extLst>
              <c:ext xmlns:c16="http://schemas.microsoft.com/office/drawing/2014/chart" uri="{C3380CC4-5D6E-409C-BE32-E72D297353CC}">
                <c16:uniqueId val="{00000002-9ED6-4B3C-8E45-0EDB7D987C4C}"/>
              </c:ext>
            </c:extLst>
          </c:dPt>
          <c:dPt>
            <c:idx val="1"/>
            <c:invertIfNegative val="0"/>
            <c:bubble3D val="0"/>
            <c:spPr>
              <a:solidFill>
                <a:srgbClr val="2278B9"/>
              </a:solidFill>
              <a:ln>
                <a:noFill/>
              </a:ln>
              <a:effectLst/>
            </c:spPr>
            <c:extLst>
              <c:ext xmlns:c16="http://schemas.microsoft.com/office/drawing/2014/chart" uri="{C3380CC4-5D6E-409C-BE32-E72D297353CC}">
                <c16:uniqueId val="{00000003-9ED6-4B3C-8E45-0EDB7D987C4C}"/>
              </c:ext>
            </c:extLst>
          </c:dPt>
          <c:dPt>
            <c:idx val="2"/>
            <c:invertIfNegative val="0"/>
            <c:bubble3D val="0"/>
            <c:spPr>
              <a:solidFill>
                <a:srgbClr val="2278B9"/>
              </a:solidFill>
              <a:ln>
                <a:noFill/>
              </a:ln>
              <a:effectLst/>
            </c:spPr>
            <c:extLst>
              <c:ext xmlns:c16="http://schemas.microsoft.com/office/drawing/2014/chart" uri="{C3380CC4-5D6E-409C-BE32-E72D297353CC}">
                <c16:uniqueId val="{00000004-9ED6-4B3C-8E45-0EDB7D987C4C}"/>
              </c:ext>
            </c:extLst>
          </c:dPt>
          <c:dPt>
            <c:idx val="3"/>
            <c:invertIfNegative val="0"/>
            <c:bubble3D val="0"/>
            <c:spPr>
              <a:solidFill>
                <a:srgbClr val="2278B9"/>
              </a:solidFill>
              <a:ln>
                <a:noFill/>
              </a:ln>
              <a:effectLst/>
            </c:spPr>
            <c:extLst>
              <c:ext xmlns:c16="http://schemas.microsoft.com/office/drawing/2014/chart" uri="{C3380CC4-5D6E-409C-BE32-E72D297353CC}">
                <c16:uniqueId val="{00000005-9ED6-4B3C-8E45-0EDB7D987C4C}"/>
              </c:ext>
            </c:extLst>
          </c:dPt>
          <c:dPt>
            <c:idx val="4"/>
            <c:invertIfNegative val="0"/>
            <c:bubble3D val="0"/>
            <c:spPr>
              <a:solidFill>
                <a:srgbClr val="2278B9"/>
              </a:solidFill>
              <a:ln>
                <a:noFill/>
              </a:ln>
              <a:effectLst/>
            </c:spPr>
            <c:extLst>
              <c:ext xmlns:c16="http://schemas.microsoft.com/office/drawing/2014/chart" uri="{C3380CC4-5D6E-409C-BE32-E72D297353CC}">
                <c16:uniqueId val="{00000006-9ED6-4B3C-8E45-0EDB7D987C4C}"/>
              </c:ext>
            </c:extLst>
          </c:dPt>
          <c:dPt>
            <c:idx val="5"/>
            <c:invertIfNegative val="0"/>
            <c:bubble3D val="0"/>
            <c:spPr>
              <a:solidFill>
                <a:srgbClr val="2278B9"/>
              </a:solidFill>
              <a:ln>
                <a:noFill/>
              </a:ln>
              <a:effectLst/>
            </c:spPr>
            <c:extLst>
              <c:ext xmlns:c16="http://schemas.microsoft.com/office/drawing/2014/chart" uri="{C3380CC4-5D6E-409C-BE32-E72D297353CC}">
                <c16:uniqueId val="{00000007-9ED6-4B3C-8E45-0EDB7D987C4C}"/>
              </c:ext>
            </c:extLst>
          </c:dPt>
          <c:dPt>
            <c:idx val="6"/>
            <c:invertIfNegative val="0"/>
            <c:bubble3D val="0"/>
            <c:spPr>
              <a:solidFill>
                <a:srgbClr val="2278B9"/>
              </a:solidFill>
              <a:ln>
                <a:noFill/>
              </a:ln>
              <a:effectLst/>
            </c:spPr>
            <c:extLst>
              <c:ext xmlns:c16="http://schemas.microsoft.com/office/drawing/2014/chart" uri="{C3380CC4-5D6E-409C-BE32-E72D297353CC}">
                <c16:uniqueId val="{00000008-9ED6-4B3C-8E45-0EDB7D987C4C}"/>
              </c:ext>
            </c:extLst>
          </c:dPt>
          <c:dPt>
            <c:idx val="7"/>
            <c:invertIfNegative val="0"/>
            <c:bubble3D val="0"/>
            <c:spPr>
              <a:solidFill>
                <a:srgbClr val="2278B9"/>
              </a:solidFill>
              <a:ln>
                <a:noFill/>
              </a:ln>
              <a:effectLst/>
            </c:spPr>
            <c:extLst>
              <c:ext xmlns:c16="http://schemas.microsoft.com/office/drawing/2014/chart" uri="{C3380CC4-5D6E-409C-BE32-E72D297353CC}">
                <c16:uniqueId val="{00000009-9ED6-4B3C-8E45-0EDB7D987C4C}"/>
              </c:ext>
            </c:extLst>
          </c:dPt>
          <c:dPt>
            <c:idx val="8"/>
            <c:invertIfNegative val="0"/>
            <c:bubble3D val="0"/>
            <c:spPr>
              <a:solidFill>
                <a:srgbClr val="2278B9"/>
              </a:solidFill>
              <a:ln>
                <a:noFill/>
              </a:ln>
              <a:effectLst/>
            </c:spPr>
            <c:extLst>
              <c:ext xmlns:c16="http://schemas.microsoft.com/office/drawing/2014/chart" uri="{C3380CC4-5D6E-409C-BE32-E72D297353CC}">
                <c16:uniqueId val="{0000000A-9ED6-4B3C-8E45-0EDB7D987C4C}"/>
              </c:ext>
            </c:extLst>
          </c:dPt>
          <c:dPt>
            <c:idx val="9"/>
            <c:invertIfNegative val="0"/>
            <c:bubble3D val="0"/>
            <c:spPr>
              <a:solidFill>
                <a:srgbClr val="2278B9"/>
              </a:solidFill>
              <a:ln>
                <a:noFill/>
              </a:ln>
              <a:effectLst/>
            </c:spPr>
            <c:extLst>
              <c:ext xmlns:c16="http://schemas.microsoft.com/office/drawing/2014/chart" uri="{C3380CC4-5D6E-409C-BE32-E72D297353CC}">
                <c16:uniqueId val="{0000000B-9ED6-4B3C-8E45-0EDB7D987C4C}"/>
              </c:ext>
            </c:extLst>
          </c:dPt>
          <c:dLbls>
            <c:dLbl>
              <c:idx val="0"/>
              <c:layout>
                <c:manualLayout>
                  <c:x val="0"/>
                  <c:y val="-0.257025439913396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D6-4B3C-8E45-0EDB7D987C4C}"/>
                </c:ext>
              </c:extLst>
            </c:dLbl>
            <c:dLbl>
              <c:idx val="1"/>
              <c:layout>
                <c:manualLayout>
                  <c:x val="9.4443544765473817E-3"/>
                  <c:y val="-0.197560791282412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D6-4B3C-8E45-0EDB7D987C4C}"/>
                </c:ext>
              </c:extLst>
            </c:dLbl>
            <c:dLbl>
              <c:idx val="2"/>
              <c:layout>
                <c:manualLayout>
                  <c:x val="8.3333333333333332E-3"/>
                  <c:y val="-0.180555555555555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D6-4B3C-8E45-0EDB7D987C4C}"/>
                </c:ext>
              </c:extLst>
            </c:dLbl>
            <c:dLbl>
              <c:idx val="3"/>
              <c:layout>
                <c:manualLayout>
                  <c:x val="0"/>
                  <c:y val="-0.1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D6-4B3C-8E45-0EDB7D987C4C}"/>
                </c:ext>
              </c:extLst>
            </c:dLbl>
            <c:dLbl>
              <c:idx val="4"/>
              <c:layout>
                <c:manualLayout>
                  <c:x val="-5.5555555555555558E-3"/>
                  <c:y val="-9.722222222222222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ED6-4B3C-8E45-0EDB7D987C4C}"/>
                </c:ext>
              </c:extLst>
            </c:dLbl>
            <c:dLbl>
              <c:idx val="5"/>
              <c:layout>
                <c:manualLayout>
                  <c:x val="0"/>
                  <c:y val="-6.481481481481489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ED6-4B3C-8E45-0EDB7D987C4C}"/>
                </c:ext>
              </c:extLst>
            </c:dLbl>
            <c:dLbl>
              <c:idx val="6"/>
              <c:layout>
                <c:manualLayout>
                  <c:x val="0"/>
                  <c:y val="-5.555555555555555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ED6-4B3C-8E45-0EDB7D987C4C}"/>
                </c:ext>
              </c:extLst>
            </c:dLbl>
            <c:dLbl>
              <c:idx val="7"/>
              <c:layout>
                <c:manualLayout>
                  <c:x val="0"/>
                  <c:y val="-4.62962962962962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ED6-4B3C-8E45-0EDB7D987C4C}"/>
                </c:ext>
              </c:extLst>
            </c:dLbl>
            <c:dLbl>
              <c:idx val="8"/>
              <c:layout>
                <c:manualLayout>
                  <c:x val="-1.0185067526415994E-16"/>
                  <c:y val="-2.777777777777777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ED6-4B3C-8E45-0EDB7D987C4C}"/>
                </c:ext>
              </c:extLst>
            </c:dLbl>
            <c:dLbl>
              <c:idx val="9"/>
              <c:layout>
                <c:manualLayout>
                  <c:x val="0"/>
                  <c:y val="-3.703703703703712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ED6-4B3C-8E45-0EDB7D987C4C}"/>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Data_analysis!$A$12:$A$22</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Data_analysis!$B$12:$B$22</c:f>
              <c:numCache>
                <c:formatCode>General</c:formatCode>
                <c:ptCount val="10"/>
                <c:pt idx="0">
                  <c:v>64800</c:v>
                </c:pt>
                <c:pt idx="1">
                  <c:v>56000</c:v>
                </c:pt>
                <c:pt idx="2">
                  <c:v>39000</c:v>
                </c:pt>
                <c:pt idx="3">
                  <c:v>24600</c:v>
                </c:pt>
                <c:pt idx="4">
                  <c:v>14850</c:v>
                </c:pt>
                <c:pt idx="5">
                  <c:v>6000</c:v>
                </c:pt>
                <c:pt idx="6">
                  <c:v>3660</c:v>
                </c:pt>
                <c:pt idx="7">
                  <c:v>1960</c:v>
                </c:pt>
                <c:pt idx="8">
                  <c:v>1000</c:v>
                </c:pt>
                <c:pt idx="9">
                  <c:v>945</c:v>
                </c:pt>
              </c:numCache>
            </c:numRef>
          </c:val>
          <c:extLst>
            <c:ext xmlns:c16="http://schemas.microsoft.com/office/drawing/2014/chart" uri="{C3380CC4-5D6E-409C-BE32-E72D297353CC}">
              <c16:uniqueId val="{00000000-9ED6-4B3C-8E45-0EDB7D987C4C}"/>
            </c:ext>
          </c:extLst>
        </c:ser>
        <c:dLbls>
          <c:showLegendKey val="0"/>
          <c:showVal val="0"/>
          <c:showCatName val="0"/>
          <c:showSerName val="0"/>
          <c:showPercent val="0"/>
          <c:showBubbleSize val="0"/>
        </c:dLbls>
        <c:gapWidth val="150"/>
        <c:overlap val="100"/>
        <c:axId val="743910751"/>
        <c:axId val="743912831"/>
      </c:barChart>
      <c:catAx>
        <c:axId val="74391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43912831"/>
        <c:crosses val="autoZero"/>
        <c:auto val="1"/>
        <c:lblAlgn val="ctr"/>
        <c:lblOffset val="100"/>
        <c:noMultiLvlLbl val="0"/>
      </c:catAx>
      <c:valAx>
        <c:axId val="74391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4391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[Sales_amazon.xlsx]Data_analysis!PivotTable6</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rgbClr val="2278B9"/>
                </a:solidFill>
                <a:latin typeface="Times New Roman" panose="02020603050405020304" pitchFamily="18" charset="0"/>
                <a:cs typeface="Times New Roman" panose="02020603050405020304" pitchFamily="18" charset="0"/>
              </a:rPr>
              <a:t>Tổng</a:t>
            </a:r>
            <a:r>
              <a:rPr lang="en-US" sz="1400" b="1" baseline="0">
                <a:solidFill>
                  <a:srgbClr val="2278B9"/>
                </a:solidFill>
                <a:latin typeface="Times New Roman" panose="02020603050405020304" pitchFamily="18" charset="0"/>
                <a:cs typeface="Times New Roman" panose="02020603050405020304" pitchFamily="18" charset="0"/>
              </a:rPr>
              <a:t> Doanh Thu Theo Location</a:t>
            </a:r>
            <a:endParaRPr lang="en-US" sz="1400" b="1">
              <a:solidFill>
                <a:srgbClr val="2278B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78B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278B9"/>
          </a:solidFill>
          <a:ln>
            <a:noFill/>
          </a:ln>
          <a:effectLst/>
        </c:spPr>
        <c:dLbl>
          <c:idx val="0"/>
          <c:layout>
            <c:manualLayout>
              <c:x val="-5.5555555555555679E-3"/>
              <c:y val="-0.28047754447360745"/>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278B9"/>
          </a:solidFill>
          <a:ln>
            <a:noFill/>
          </a:ln>
          <a:effectLst/>
        </c:spPr>
        <c:dLbl>
          <c:idx val="0"/>
          <c:layout>
            <c:manualLayout>
              <c:x val="2.5462668816039986E-17"/>
              <c:y val="-0.26294218431029454"/>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278B9"/>
          </a:solidFill>
          <a:ln>
            <a:noFill/>
          </a:ln>
          <a:effectLst/>
        </c:spPr>
        <c:dLbl>
          <c:idx val="0"/>
          <c:layout>
            <c:manualLayout>
              <c:x val="-2.7777777777777779E-3"/>
              <c:y val="-0.23551472732575096"/>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278B9"/>
          </a:solidFill>
          <a:ln>
            <a:noFill/>
          </a:ln>
          <a:effectLst/>
        </c:spPr>
        <c:dLbl>
          <c:idx val="0"/>
          <c:layout>
            <c:manualLayout>
              <c:x val="2.7777777777777267E-3"/>
              <c:y val="-0.22919765237678624"/>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278B9"/>
          </a:solidFill>
          <a:ln>
            <a:noFill/>
          </a:ln>
          <a:effectLst/>
        </c:spPr>
        <c:dLbl>
          <c:idx val="0"/>
          <c:layout>
            <c:manualLayout>
              <c:x val="-5.5555555555555558E-3"/>
              <c:y val="-0.19564486730825315"/>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278B9"/>
          </a:solidFill>
          <a:ln>
            <a:noFill/>
          </a:ln>
          <a:effectLst/>
        </c:spPr>
        <c:dLbl>
          <c:idx val="0"/>
          <c:layout>
            <c:manualLayout>
              <c:x val="-1.0185067526415994E-16"/>
              <c:y val="-0.1881284631087781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278B9"/>
          </a:solidFill>
          <a:ln>
            <a:noFill/>
          </a:ln>
          <a:effectLst/>
        </c:spPr>
        <c:dLbl>
          <c:idx val="0"/>
          <c:layout>
            <c:manualLayout>
              <c:x val="-2.7777777777777779E-3"/>
              <c:y val="-0.17542249927092446"/>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278B9"/>
          </a:solidFill>
          <a:ln>
            <a:noFill/>
          </a:ln>
          <a:effectLst/>
        </c:spPr>
        <c:dLbl>
          <c:idx val="0"/>
          <c:layout>
            <c:manualLayout>
              <c:x val="-2.7777777777778798E-3"/>
              <c:y val="-0.16947360746573345"/>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278B9"/>
          </a:solidFill>
          <a:ln>
            <a:noFill/>
          </a:ln>
          <a:effectLst/>
        </c:spPr>
        <c:dLbl>
          <c:idx val="0"/>
          <c:layout>
            <c:manualLayout>
              <c:x val="-5.5555555555555558E-3"/>
              <c:y val="-0.17034485272674255"/>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278B9"/>
          </a:solidFill>
          <a:ln>
            <a:noFill/>
          </a:ln>
          <a:effectLst/>
        </c:spPr>
        <c:dLbl>
          <c:idx val="0"/>
          <c:layout>
            <c:manualLayout>
              <c:x val="-5.5555555555555558E-3"/>
              <c:y val="-0.15558326042578019"/>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Data_analysis!$B$24</c:f>
              <c:strCache>
                <c:ptCount val="1"/>
                <c:pt idx="0">
                  <c:v>Total</c:v>
                </c:pt>
              </c:strCache>
            </c:strRef>
          </c:tx>
          <c:spPr>
            <a:solidFill>
              <a:srgbClr val="2278B9"/>
            </a:solidFill>
            <a:ln>
              <a:noFill/>
            </a:ln>
            <a:effectLst/>
          </c:spPr>
          <c:invertIfNegative val="0"/>
          <c:dPt>
            <c:idx val="0"/>
            <c:invertIfNegative val="0"/>
            <c:bubble3D val="0"/>
            <c:spPr>
              <a:solidFill>
                <a:srgbClr val="2278B9"/>
              </a:solidFill>
              <a:ln>
                <a:noFill/>
              </a:ln>
              <a:effectLst/>
            </c:spPr>
            <c:extLst>
              <c:ext xmlns:c16="http://schemas.microsoft.com/office/drawing/2014/chart" uri="{C3380CC4-5D6E-409C-BE32-E72D297353CC}">
                <c16:uniqueId val="{00000002-264F-4571-865B-A1E5C9D61AC9}"/>
              </c:ext>
            </c:extLst>
          </c:dPt>
          <c:dPt>
            <c:idx val="1"/>
            <c:invertIfNegative val="0"/>
            <c:bubble3D val="0"/>
            <c:spPr>
              <a:solidFill>
                <a:srgbClr val="2278B9"/>
              </a:solidFill>
              <a:ln>
                <a:noFill/>
              </a:ln>
              <a:effectLst/>
            </c:spPr>
            <c:extLst>
              <c:ext xmlns:c16="http://schemas.microsoft.com/office/drawing/2014/chart" uri="{C3380CC4-5D6E-409C-BE32-E72D297353CC}">
                <c16:uniqueId val="{00000003-264F-4571-865B-A1E5C9D61AC9}"/>
              </c:ext>
            </c:extLst>
          </c:dPt>
          <c:dPt>
            <c:idx val="2"/>
            <c:invertIfNegative val="0"/>
            <c:bubble3D val="0"/>
            <c:spPr>
              <a:solidFill>
                <a:srgbClr val="2278B9"/>
              </a:solidFill>
              <a:ln>
                <a:noFill/>
              </a:ln>
              <a:effectLst/>
            </c:spPr>
            <c:extLst>
              <c:ext xmlns:c16="http://schemas.microsoft.com/office/drawing/2014/chart" uri="{C3380CC4-5D6E-409C-BE32-E72D297353CC}">
                <c16:uniqueId val="{00000004-264F-4571-865B-A1E5C9D61AC9}"/>
              </c:ext>
            </c:extLst>
          </c:dPt>
          <c:dPt>
            <c:idx val="3"/>
            <c:invertIfNegative val="0"/>
            <c:bubble3D val="0"/>
            <c:spPr>
              <a:solidFill>
                <a:srgbClr val="2278B9"/>
              </a:solidFill>
              <a:ln>
                <a:noFill/>
              </a:ln>
              <a:effectLst/>
            </c:spPr>
            <c:extLst>
              <c:ext xmlns:c16="http://schemas.microsoft.com/office/drawing/2014/chart" uri="{C3380CC4-5D6E-409C-BE32-E72D297353CC}">
                <c16:uniqueId val="{00000005-264F-4571-865B-A1E5C9D61AC9}"/>
              </c:ext>
            </c:extLst>
          </c:dPt>
          <c:dPt>
            <c:idx val="4"/>
            <c:invertIfNegative val="0"/>
            <c:bubble3D val="0"/>
            <c:spPr>
              <a:solidFill>
                <a:srgbClr val="2278B9"/>
              </a:solidFill>
              <a:ln>
                <a:noFill/>
              </a:ln>
              <a:effectLst/>
            </c:spPr>
            <c:extLst>
              <c:ext xmlns:c16="http://schemas.microsoft.com/office/drawing/2014/chart" uri="{C3380CC4-5D6E-409C-BE32-E72D297353CC}">
                <c16:uniqueId val="{00000006-264F-4571-865B-A1E5C9D61AC9}"/>
              </c:ext>
            </c:extLst>
          </c:dPt>
          <c:dPt>
            <c:idx val="5"/>
            <c:invertIfNegative val="0"/>
            <c:bubble3D val="0"/>
            <c:spPr>
              <a:solidFill>
                <a:srgbClr val="2278B9"/>
              </a:solidFill>
              <a:ln>
                <a:noFill/>
              </a:ln>
              <a:effectLst/>
            </c:spPr>
            <c:extLst>
              <c:ext xmlns:c16="http://schemas.microsoft.com/office/drawing/2014/chart" uri="{C3380CC4-5D6E-409C-BE32-E72D297353CC}">
                <c16:uniqueId val="{00000007-264F-4571-865B-A1E5C9D61AC9}"/>
              </c:ext>
            </c:extLst>
          </c:dPt>
          <c:dPt>
            <c:idx val="6"/>
            <c:invertIfNegative val="0"/>
            <c:bubble3D val="0"/>
            <c:spPr>
              <a:solidFill>
                <a:srgbClr val="2278B9"/>
              </a:solidFill>
              <a:ln>
                <a:noFill/>
              </a:ln>
              <a:effectLst/>
            </c:spPr>
            <c:extLst>
              <c:ext xmlns:c16="http://schemas.microsoft.com/office/drawing/2014/chart" uri="{C3380CC4-5D6E-409C-BE32-E72D297353CC}">
                <c16:uniqueId val="{00000008-264F-4571-865B-A1E5C9D61AC9}"/>
              </c:ext>
            </c:extLst>
          </c:dPt>
          <c:dPt>
            <c:idx val="7"/>
            <c:invertIfNegative val="0"/>
            <c:bubble3D val="0"/>
            <c:spPr>
              <a:solidFill>
                <a:srgbClr val="2278B9"/>
              </a:solidFill>
              <a:ln>
                <a:noFill/>
              </a:ln>
              <a:effectLst/>
            </c:spPr>
            <c:extLst>
              <c:ext xmlns:c16="http://schemas.microsoft.com/office/drawing/2014/chart" uri="{C3380CC4-5D6E-409C-BE32-E72D297353CC}">
                <c16:uniqueId val="{00000009-264F-4571-865B-A1E5C9D61AC9}"/>
              </c:ext>
            </c:extLst>
          </c:dPt>
          <c:dPt>
            <c:idx val="8"/>
            <c:invertIfNegative val="0"/>
            <c:bubble3D val="0"/>
            <c:spPr>
              <a:solidFill>
                <a:srgbClr val="2278B9"/>
              </a:solidFill>
              <a:ln>
                <a:noFill/>
              </a:ln>
              <a:effectLst/>
            </c:spPr>
            <c:extLst>
              <c:ext xmlns:c16="http://schemas.microsoft.com/office/drawing/2014/chart" uri="{C3380CC4-5D6E-409C-BE32-E72D297353CC}">
                <c16:uniqueId val="{0000000A-264F-4571-865B-A1E5C9D61AC9}"/>
              </c:ext>
            </c:extLst>
          </c:dPt>
          <c:dPt>
            <c:idx val="9"/>
            <c:invertIfNegative val="0"/>
            <c:bubble3D val="0"/>
            <c:spPr>
              <a:solidFill>
                <a:srgbClr val="2278B9"/>
              </a:solidFill>
              <a:ln>
                <a:noFill/>
              </a:ln>
              <a:effectLst/>
            </c:spPr>
            <c:extLst>
              <c:ext xmlns:c16="http://schemas.microsoft.com/office/drawing/2014/chart" uri="{C3380CC4-5D6E-409C-BE32-E72D297353CC}">
                <c16:uniqueId val="{0000000B-264F-4571-865B-A1E5C9D61AC9}"/>
              </c:ext>
            </c:extLst>
          </c:dPt>
          <c:dLbls>
            <c:dLbl>
              <c:idx val="0"/>
              <c:layout>
                <c:manualLayout>
                  <c:x val="-5.5555555555555679E-3"/>
                  <c:y val="-0.280477544473607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4F-4571-865B-A1E5C9D61AC9}"/>
                </c:ext>
              </c:extLst>
            </c:dLbl>
            <c:dLbl>
              <c:idx val="1"/>
              <c:layout>
                <c:manualLayout>
                  <c:x val="2.5462668816039986E-17"/>
                  <c:y val="-0.262942184310294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4F-4571-865B-A1E5C9D61AC9}"/>
                </c:ext>
              </c:extLst>
            </c:dLbl>
            <c:dLbl>
              <c:idx val="2"/>
              <c:layout>
                <c:manualLayout>
                  <c:x val="-2.7777777777777779E-3"/>
                  <c:y val="-0.235514727325750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4F-4571-865B-A1E5C9D61AC9}"/>
                </c:ext>
              </c:extLst>
            </c:dLbl>
            <c:dLbl>
              <c:idx val="3"/>
              <c:layout>
                <c:manualLayout>
                  <c:x val="2.7777777777777267E-3"/>
                  <c:y val="-0.229197652376786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4F-4571-865B-A1E5C9D61AC9}"/>
                </c:ext>
              </c:extLst>
            </c:dLbl>
            <c:dLbl>
              <c:idx val="4"/>
              <c:layout>
                <c:manualLayout>
                  <c:x val="-5.5555555555555558E-3"/>
                  <c:y val="-0.1956448673082531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4F-4571-865B-A1E5C9D61AC9}"/>
                </c:ext>
              </c:extLst>
            </c:dLbl>
            <c:dLbl>
              <c:idx val="5"/>
              <c:layout>
                <c:manualLayout>
                  <c:x val="-1.0185067526415994E-16"/>
                  <c:y val="-0.188128463108778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4F-4571-865B-A1E5C9D61AC9}"/>
                </c:ext>
              </c:extLst>
            </c:dLbl>
            <c:dLbl>
              <c:idx val="6"/>
              <c:layout>
                <c:manualLayout>
                  <c:x val="-2.7777777777777779E-3"/>
                  <c:y val="-0.175422499270924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4F-4571-865B-A1E5C9D61AC9}"/>
                </c:ext>
              </c:extLst>
            </c:dLbl>
            <c:dLbl>
              <c:idx val="7"/>
              <c:layout>
                <c:manualLayout>
                  <c:x val="-2.7777777777778798E-3"/>
                  <c:y val="-0.169473607465733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4F-4571-865B-A1E5C9D61AC9}"/>
                </c:ext>
              </c:extLst>
            </c:dLbl>
            <c:dLbl>
              <c:idx val="8"/>
              <c:layout>
                <c:manualLayout>
                  <c:x val="-5.5555555555555558E-3"/>
                  <c:y val="-0.170344852726742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4F-4571-865B-A1E5C9D61AC9}"/>
                </c:ext>
              </c:extLst>
            </c:dLbl>
            <c:dLbl>
              <c:idx val="9"/>
              <c:layout>
                <c:manualLayout>
                  <c:x val="-5.5555555555555558E-3"/>
                  <c:y val="-0.155583260425780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4F-4571-865B-A1E5C9D61AC9}"/>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Data_analysis!$A$25:$A$35</c:f>
              <c:strCache>
                <c:ptCount val="10"/>
                <c:pt idx="0">
                  <c:v>Denver</c:v>
                </c:pt>
                <c:pt idx="1">
                  <c:v>Miami</c:v>
                </c:pt>
                <c:pt idx="2">
                  <c:v>Boston</c:v>
                </c:pt>
                <c:pt idx="3">
                  <c:v>Houston</c:v>
                </c:pt>
                <c:pt idx="4">
                  <c:v>Dallas</c:v>
                </c:pt>
                <c:pt idx="5">
                  <c:v>New York</c:v>
                </c:pt>
                <c:pt idx="6">
                  <c:v>Chicago</c:v>
                </c:pt>
                <c:pt idx="7">
                  <c:v>Seattle</c:v>
                </c:pt>
                <c:pt idx="8">
                  <c:v>Los Angeles</c:v>
                </c:pt>
                <c:pt idx="9">
                  <c:v>San Francisco</c:v>
                </c:pt>
              </c:strCache>
            </c:strRef>
          </c:cat>
          <c:val>
            <c:numRef>
              <c:f>Data_analysis!$B$25:$B$35</c:f>
              <c:numCache>
                <c:formatCode>General</c:formatCode>
                <c:ptCount val="10"/>
                <c:pt idx="0">
                  <c:v>29635</c:v>
                </c:pt>
                <c:pt idx="1">
                  <c:v>28600</c:v>
                </c:pt>
                <c:pt idx="2">
                  <c:v>25170</c:v>
                </c:pt>
                <c:pt idx="3">
                  <c:v>24380</c:v>
                </c:pt>
                <c:pt idx="4">
                  <c:v>19605</c:v>
                </c:pt>
                <c:pt idx="5">
                  <c:v>18665</c:v>
                </c:pt>
                <c:pt idx="6">
                  <c:v>17655</c:v>
                </c:pt>
                <c:pt idx="7">
                  <c:v>17490</c:v>
                </c:pt>
                <c:pt idx="8">
                  <c:v>17020</c:v>
                </c:pt>
                <c:pt idx="9">
                  <c:v>14595</c:v>
                </c:pt>
              </c:numCache>
            </c:numRef>
          </c:val>
          <c:extLst>
            <c:ext xmlns:c16="http://schemas.microsoft.com/office/drawing/2014/chart" uri="{C3380CC4-5D6E-409C-BE32-E72D297353CC}">
              <c16:uniqueId val="{00000000-264F-4571-865B-A1E5C9D61AC9}"/>
            </c:ext>
          </c:extLst>
        </c:ser>
        <c:dLbls>
          <c:dLblPos val="inEnd"/>
          <c:showLegendKey val="0"/>
          <c:showVal val="1"/>
          <c:showCatName val="0"/>
          <c:showSerName val="0"/>
          <c:showPercent val="0"/>
          <c:showBubbleSize val="0"/>
        </c:dLbls>
        <c:gapWidth val="150"/>
        <c:overlap val="100"/>
        <c:axId val="520442815"/>
        <c:axId val="1059350447"/>
      </c:barChart>
      <c:catAx>
        <c:axId val="52044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59350447"/>
        <c:crosses val="autoZero"/>
        <c:auto val="1"/>
        <c:lblAlgn val="ctr"/>
        <c:lblOffset val="100"/>
        <c:noMultiLvlLbl val="0"/>
      </c:catAx>
      <c:valAx>
        <c:axId val="105935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20442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278B9"/>
                </a:solidFill>
                <a:latin typeface="Times New Roman" panose="02020603050405020304" pitchFamily="18" charset="0"/>
                <a:cs typeface="Times New Roman" panose="02020603050405020304" pitchFamily="18" charset="0"/>
              </a:rPr>
              <a:t>Tổng</a:t>
            </a:r>
            <a:r>
              <a:rPr lang="en-US" sz="1400" b="1" baseline="0">
                <a:solidFill>
                  <a:srgbClr val="2278B9"/>
                </a:solidFill>
                <a:latin typeface="Times New Roman" panose="02020603050405020304" pitchFamily="18" charset="0"/>
                <a:cs typeface="Times New Roman" panose="02020603050405020304" pitchFamily="18" charset="0"/>
              </a:rPr>
              <a:t> Doanh Số Theo Tháng</a:t>
            </a:r>
            <a:endParaRPr lang="en-US" sz="1400" b="1">
              <a:solidFill>
                <a:srgbClr val="2278B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78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278B9"/>
          </a:solidFill>
          <a:ln>
            <a:noFill/>
          </a:ln>
          <a:effectLst/>
        </c:spPr>
        <c:dLbl>
          <c:idx val="0"/>
          <c:layout>
            <c:manualLayout>
              <c:x val="-2.7777777777777905E-3"/>
              <c:y val="-0.3538225430154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278B9"/>
          </a:solidFill>
          <a:ln>
            <a:noFill/>
          </a:ln>
          <a:effectLst/>
        </c:spPr>
        <c:dLbl>
          <c:idx val="0"/>
          <c:layout>
            <c:manualLayout>
              <c:x val="5.5555555555555558E-3"/>
              <c:y val="-0.3285575240594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278B9"/>
          </a:solidFill>
          <a:ln>
            <a:noFill/>
          </a:ln>
          <a:effectLst/>
        </c:spPr>
        <c:dLbl>
          <c:idx val="0"/>
          <c:layout>
            <c:manualLayout>
              <c:x val="0"/>
              <c:y val="-0.116583552055993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278B9"/>
          </a:solidFill>
          <a:ln>
            <a:noFill/>
          </a:ln>
          <a:effectLst/>
        </c:spPr>
        <c:dLbl>
          <c:idx val="0"/>
          <c:layout>
            <c:manualLayout>
              <c:x val="0"/>
              <c:y val="-9.28273549139691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278B9"/>
          </a:solidFill>
          <a:ln>
            <a:noFill/>
          </a:ln>
          <a:effectLst/>
        </c:spPr>
        <c:dLbl>
          <c:idx val="0"/>
          <c:layout>
            <c:manualLayout>
              <c:x val="0"/>
              <c:y val="-8.04031787693205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278B9"/>
          </a:solidFill>
          <a:ln>
            <a:noFill/>
          </a:ln>
          <a:effectLst/>
        </c:spPr>
        <c:dLbl>
          <c:idx val="0"/>
          <c:layout>
            <c:manualLayout>
              <c:x val="-5.0925337632079971E-17"/>
              <c:y val="-8.29381743948674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278B9"/>
          </a:solidFill>
          <a:ln>
            <a:noFill/>
          </a:ln>
          <a:effectLst/>
        </c:spPr>
        <c:dLbl>
          <c:idx val="0"/>
          <c:layout>
            <c:manualLayout>
              <c:x val="2.7777777777777779E-3"/>
              <c:y val="-5.8540390784485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278B9"/>
          </a:solidFill>
          <a:ln>
            <a:noFill/>
          </a:ln>
          <a:effectLst/>
        </c:spPr>
        <c:dLbl>
          <c:idx val="0"/>
          <c:layout>
            <c:manualLayout>
              <c:x val="-1.0185067526415994E-16"/>
              <c:y val="-5.84729512977546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278B9"/>
          </a:solidFill>
          <a:ln>
            <a:noFill/>
          </a:ln>
          <a:effectLst/>
        </c:spPr>
        <c:dLbl>
          <c:idx val="0"/>
          <c:layout>
            <c:manualLayout>
              <c:x val="-2.7777777777777779E-3"/>
              <c:y val="-5.16805191017791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278B9"/>
          </a:solidFill>
          <a:ln>
            <a:noFill/>
          </a:ln>
          <a:effectLst/>
        </c:spPr>
        <c:dLbl>
          <c:idx val="0"/>
          <c:layout>
            <c:manualLayout>
              <c:x val="-1.0185067526415994E-16"/>
              <c:y val="-5.3291411490230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278B9"/>
          </a:solidFill>
          <a:ln>
            <a:noFill/>
          </a:ln>
          <a:effectLst/>
        </c:spPr>
        <c:dLbl>
          <c:idx val="0"/>
          <c:layout>
            <c:manualLayout>
              <c:x val="2.7777777777777779E-3"/>
              <c:y val="-4.5508165645961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278B9"/>
          </a:solidFill>
          <a:ln>
            <a:noFill/>
          </a:ln>
          <a:effectLst/>
        </c:spPr>
        <c:dLbl>
          <c:idx val="0"/>
          <c:layout>
            <c:manualLayout>
              <c:x val="-1.0185067526415994E-16"/>
              <c:y val="-3.94145523476232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Data_analysis!$B$50</c:f>
              <c:strCache>
                <c:ptCount val="1"/>
                <c:pt idx="0">
                  <c:v>Total</c:v>
                </c:pt>
              </c:strCache>
            </c:strRef>
          </c:tx>
          <c:spPr>
            <a:solidFill>
              <a:srgbClr val="2278B9"/>
            </a:solidFill>
            <a:ln>
              <a:noFill/>
            </a:ln>
            <a:effectLst/>
          </c:spPr>
          <c:invertIfNegative val="0"/>
          <c:dPt>
            <c:idx val="0"/>
            <c:invertIfNegative val="0"/>
            <c:bubble3D val="0"/>
            <c:spPr>
              <a:solidFill>
                <a:srgbClr val="2278B9"/>
              </a:solidFill>
              <a:ln>
                <a:noFill/>
              </a:ln>
              <a:effectLst/>
            </c:spPr>
            <c:extLst>
              <c:ext xmlns:c16="http://schemas.microsoft.com/office/drawing/2014/chart" uri="{C3380CC4-5D6E-409C-BE32-E72D297353CC}">
                <c16:uniqueId val="{00000002-D057-43EB-B443-7462AC5C4163}"/>
              </c:ext>
            </c:extLst>
          </c:dPt>
          <c:dPt>
            <c:idx val="1"/>
            <c:invertIfNegative val="0"/>
            <c:bubble3D val="0"/>
            <c:spPr>
              <a:solidFill>
                <a:srgbClr val="2278B9"/>
              </a:solidFill>
              <a:ln>
                <a:noFill/>
              </a:ln>
              <a:effectLst/>
            </c:spPr>
            <c:extLst>
              <c:ext xmlns:c16="http://schemas.microsoft.com/office/drawing/2014/chart" uri="{C3380CC4-5D6E-409C-BE32-E72D297353CC}">
                <c16:uniqueId val="{00000003-D057-43EB-B443-7462AC5C4163}"/>
              </c:ext>
            </c:extLst>
          </c:dPt>
          <c:dPt>
            <c:idx val="2"/>
            <c:invertIfNegative val="0"/>
            <c:bubble3D val="0"/>
            <c:spPr>
              <a:solidFill>
                <a:srgbClr val="2278B9"/>
              </a:solidFill>
              <a:ln>
                <a:noFill/>
              </a:ln>
              <a:effectLst/>
            </c:spPr>
            <c:extLst>
              <c:ext xmlns:c16="http://schemas.microsoft.com/office/drawing/2014/chart" uri="{C3380CC4-5D6E-409C-BE32-E72D297353CC}">
                <c16:uniqueId val="{00000004-D057-43EB-B443-7462AC5C4163}"/>
              </c:ext>
            </c:extLst>
          </c:dPt>
          <c:dPt>
            <c:idx val="3"/>
            <c:invertIfNegative val="0"/>
            <c:bubble3D val="0"/>
            <c:spPr>
              <a:solidFill>
                <a:srgbClr val="2278B9"/>
              </a:solidFill>
              <a:ln>
                <a:noFill/>
              </a:ln>
              <a:effectLst/>
            </c:spPr>
            <c:extLst>
              <c:ext xmlns:c16="http://schemas.microsoft.com/office/drawing/2014/chart" uri="{C3380CC4-5D6E-409C-BE32-E72D297353CC}">
                <c16:uniqueId val="{00000005-D057-43EB-B443-7462AC5C4163}"/>
              </c:ext>
            </c:extLst>
          </c:dPt>
          <c:dPt>
            <c:idx val="4"/>
            <c:invertIfNegative val="0"/>
            <c:bubble3D val="0"/>
            <c:spPr>
              <a:solidFill>
                <a:srgbClr val="2278B9"/>
              </a:solidFill>
              <a:ln>
                <a:noFill/>
              </a:ln>
              <a:effectLst/>
            </c:spPr>
            <c:extLst>
              <c:ext xmlns:c16="http://schemas.microsoft.com/office/drawing/2014/chart" uri="{C3380CC4-5D6E-409C-BE32-E72D297353CC}">
                <c16:uniqueId val="{00000006-D057-43EB-B443-7462AC5C4163}"/>
              </c:ext>
            </c:extLst>
          </c:dPt>
          <c:dPt>
            <c:idx val="5"/>
            <c:invertIfNegative val="0"/>
            <c:bubble3D val="0"/>
            <c:spPr>
              <a:solidFill>
                <a:srgbClr val="2278B9"/>
              </a:solidFill>
              <a:ln>
                <a:noFill/>
              </a:ln>
              <a:effectLst/>
            </c:spPr>
            <c:extLst>
              <c:ext xmlns:c16="http://schemas.microsoft.com/office/drawing/2014/chart" uri="{C3380CC4-5D6E-409C-BE32-E72D297353CC}">
                <c16:uniqueId val="{00000007-D057-43EB-B443-7462AC5C4163}"/>
              </c:ext>
            </c:extLst>
          </c:dPt>
          <c:dPt>
            <c:idx val="6"/>
            <c:invertIfNegative val="0"/>
            <c:bubble3D val="0"/>
            <c:spPr>
              <a:solidFill>
                <a:srgbClr val="2278B9"/>
              </a:solidFill>
              <a:ln>
                <a:noFill/>
              </a:ln>
              <a:effectLst/>
            </c:spPr>
            <c:extLst>
              <c:ext xmlns:c16="http://schemas.microsoft.com/office/drawing/2014/chart" uri="{C3380CC4-5D6E-409C-BE32-E72D297353CC}">
                <c16:uniqueId val="{00000008-D057-43EB-B443-7462AC5C4163}"/>
              </c:ext>
            </c:extLst>
          </c:dPt>
          <c:dPt>
            <c:idx val="7"/>
            <c:invertIfNegative val="0"/>
            <c:bubble3D val="0"/>
            <c:spPr>
              <a:solidFill>
                <a:srgbClr val="2278B9"/>
              </a:solidFill>
              <a:ln>
                <a:noFill/>
              </a:ln>
              <a:effectLst/>
            </c:spPr>
            <c:extLst>
              <c:ext xmlns:c16="http://schemas.microsoft.com/office/drawing/2014/chart" uri="{C3380CC4-5D6E-409C-BE32-E72D297353CC}">
                <c16:uniqueId val="{00000009-D057-43EB-B443-7462AC5C4163}"/>
              </c:ext>
            </c:extLst>
          </c:dPt>
          <c:dPt>
            <c:idx val="8"/>
            <c:invertIfNegative val="0"/>
            <c:bubble3D val="0"/>
            <c:spPr>
              <a:solidFill>
                <a:srgbClr val="2278B9"/>
              </a:solidFill>
              <a:ln>
                <a:noFill/>
              </a:ln>
              <a:effectLst/>
            </c:spPr>
            <c:extLst>
              <c:ext xmlns:c16="http://schemas.microsoft.com/office/drawing/2014/chart" uri="{C3380CC4-5D6E-409C-BE32-E72D297353CC}">
                <c16:uniqueId val="{0000000A-D057-43EB-B443-7462AC5C4163}"/>
              </c:ext>
            </c:extLst>
          </c:dPt>
          <c:dPt>
            <c:idx val="9"/>
            <c:invertIfNegative val="0"/>
            <c:bubble3D val="0"/>
            <c:spPr>
              <a:solidFill>
                <a:srgbClr val="2278B9"/>
              </a:solidFill>
              <a:ln>
                <a:noFill/>
              </a:ln>
              <a:effectLst/>
            </c:spPr>
            <c:extLst>
              <c:ext xmlns:c16="http://schemas.microsoft.com/office/drawing/2014/chart" uri="{C3380CC4-5D6E-409C-BE32-E72D297353CC}">
                <c16:uniqueId val="{0000000B-D057-43EB-B443-7462AC5C4163}"/>
              </c:ext>
            </c:extLst>
          </c:dPt>
          <c:dPt>
            <c:idx val="10"/>
            <c:invertIfNegative val="0"/>
            <c:bubble3D val="0"/>
            <c:spPr>
              <a:solidFill>
                <a:srgbClr val="2278B9"/>
              </a:solidFill>
              <a:ln>
                <a:noFill/>
              </a:ln>
              <a:effectLst/>
            </c:spPr>
            <c:extLst>
              <c:ext xmlns:c16="http://schemas.microsoft.com/office/drawing/2014/chart" uri="{C3380CC4-5D6E-409C-BE32-E72D297353CC}">
                <c16:uniqueId val="{0000000C-D057-43EB-B443-7462AC5C4163}"/>
              </c:ext>
            </c:extLst>
          </c:dPt>
          <c:dPt>
            <c:idx val="11"/>
            <c:invertIfNegative val="0"/>
            <c:bubble3D val="0"/>
            <c:spPr>
              <a:solidFill>
                <a:srgbClr val="2278B9"/>
              </a:solidFill>
              <a:ln>
                <a:noFill/>
              </a:ln>
              <a:effectLst/>
            </c:spPr>
            <c:extLst>
              <c:ext xmlns:c16="http://schemas.microsoft.com/office/drawing/2014/chart" uri="{C3380CC4-5D6E-409C-BE32-E72D297353CC}">
                <c16:uniqueId val="{0000000D-D057-43EB-B443-7462AC5C4163}"/>
              </c:ext>
            </c:extLst>
          </c:dPt>
          <c:dLbls>
            <c:dLbl>
              <c:idx val="0"/>
              <c:layout>
                <c:manualLayout>
                  <c:x val="-2.7777777777777905E-3"/>
                  <c:y val="-0.35382254301545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57-43EB-B443-7462AC5C4163}"/>
                </c:ext>
              </c:extLst>
            </c:dLbl>
            <c:dLbl>
              <c:idx val="1"/>
              <c:layout>
                <c:manualLayout>
                  <c:x val="5.5555555555555558E-3"/>
                  <c:y val="-0.328557524059492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57-43EB-B443-7462AC5C4163}"/>
                </c:ext>
              </c:extLst>
            </c:dLbl>
            <c:dLbl>
              <c:idx val="2"/>
              <c:layout>
                <c:manualLayout>
                  <c:x val="0"/>
                  <c:y val="-0.116583552055993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057-43EB-B443-7462AC5C4163}"/>
                </c:ext>
              </c:extLst>
            </c:dLbl>
            <c:dLbl>
              <c:idx val="3"/>
              <c:layout>
                <c:manualLayout>
                  <c:x val="0"/>
                  <c:y val="-9.282735491396917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57-43EB-B443-7462AC5C4163}"/>
                </c:ext>
              </c:extLst>
            </c:dLbl>
            <c:dLbl>
              <c:idx val="4"/>
              <c:layout>
                <c:manualLayout>
                  <c:x val="0"/>
                  <c:y val="-8.040317876932050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057-43EB-B443-7462AC5C4163}"/>
                </c:ext>
              </c:extLst>
            </c:dLbl>
            <c:dLbl>
              <c:idx val="5"/>
              <c:layout>
                <c:manualLayout>
                  <c:x val="-5.0925337632079971E-17"/>
                  <c:y val="-8.293817439486747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057-43EB-B443-7462AC5C4163}"/>
                </c:ext>
              </c:extLst>
            </c:dLbl>
            <c:dLbl>
              <c:idx val="6"/>
              <c:layout>
                <c:manualLayout>
                  <c:x val="2.7777777777777779E-3"/>
                  <c:y val="-5.85403907844852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057-43EB-B443-7462AC5C4163}"/>
                </c:ext>
              </c:extLst>
            </c:dLbl>
            <c:dLbl>
              <c:idx val="7"/>
              <c:layout>
                <c:manualLayout>
                  <c:x val="-1.0185067526415994E-16"/>
                  <c:y val="-5.847295129775461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057-43EB-B443-7462AC5C4163}"/>
                </c:ext>
              </c:extLst>
            </c:dLbl>
            <c:dLbl>
              <c:idx val="8"/>
              <c:layout>
                <c:manualLayout>
                  <c:x val="-2.7777777777777779E-3"/>
                  <c:y val="-5.168051910177911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057-43EB-B443-7462AC5C4163}"/>
                </c:ext>
              </c:extLst>
            </c:dLbl>
            <c:dLbl>
              <c:idx val="9"/>
              <c:layout>
                <c:manualLayout>
                  <c:x val="-1.0185067526415994E-16"/>
                  <c:y val="-5.32914114902303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057-43EB-B443-7462AC5C4163}"/>
                </c:ext>
              </c:extLst>
            </c:dLbl>
            <c:dLbl>
              <c:idx val="10"/>
              <c:layout>
                <c:manualLayout>
                  <c:x val="2.7777777777777779E-3"/>
                  <c:y val="-4.550816564596109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057-43EB-B443-7462AC5C4163}"/>
                </c:ext>
              </c:extLst>
            </c:dLbl>
            <c:dLbl>
              <c:idx val="11"/>
              <c:layout>
                <c:manualLayout>
                  <c:x val="-1.0185067526415994E-16"/>
                  <c:y val="-3.941455234762321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057-43EB-B443-7462AC5C41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Data_analysis!$A$51:$A$63</c:f>
              <c:strCache>
                <c:ptCount val="12"/>
                <c:pt idx="0">
                  <c:v>03</c:v>
                </c:pt>
                <c:pt idx="1">
                  <c:v>02</c:v>
                </c:pt>
                <c:pt idx="2">
                  <c:v>06</c:v>
                </c:pt>
                <c:pt idx="3">
                  <c:v>10</c:v>
                </c:pt>
                <c:pt idx="4">
                  <c:v>04</c:v>
                </c:pt>
                <c:pt idx="5">
                  <c:v>07</c:v>
                </c:pt>
                <c:pt idx="6">
                  <c:v>08</c:v>
                </c:pt>
                <c:pt idx="7">
                  <c:v>11</c:v>
                </c:pt>
                <c:pt idx="8">
                  <c:v>12</c:v>
                </c:pt>
                <c:pt idx="9">
                  <c:v>09</c:v>
                </c:pt>
                <c:pt idx="10">
                  <c:v>05</c:v>
                </c:pt>
                <c:pt idx="11">
                  <c:v>01</c:v>
                </c:pt>
              </c:strCache>
            </c:strRef>
          </c:cat>
          <c:val>
            <c:numRef>
              <c:f>Data_analysis!$B$51:$B$63</c:f>
              <c:numCache>
                <c:formatCode>General</c:formatCode>
                <c:ptCount val="12"/>
                <c:pt idx="0">
                  <c:v>71330</c:v>
                </c:pt>
                <c:pt idx="1">
                  <c:v>66750</c:v>
                </c:pt>
                <c:pt idx="2">
                  <c:v>16620</c:v>
                </c:pt>
                <c:pt idx="3">
                  <c:v>14430</c:v>
                </c:pt>
                <c:pt idx="4">
                  <c:v>12700</c:v>
                </c:pt>
                <c:pt idx="5">
                  <c:v>10180</c:v>
                </c:pt>
                <c:pt idx="6">
                  <c:v>4765</c:v>
                </c:pt>
                <c:pt idx="7">
                  <c:v>4750</c:v>
                </c:pt>
                <c:pt idx="8">
                  <c:v>4270</c:v>
                </c:pt>
                <c:pt idx="9">
                  <c:v>3600</c:v>
                </c:pt>
                <c:pt idx="10">
                  <c:v>2900</c:v>
                </c:pt>
                <c:pt idx="11">
                  <c:v>520</c:v>
                </c:pt>
              </c:numCache>
            </c:numRef>
          </c:val>
          <c:extLst>
            <c:ext xmlns:c16="http://schemas.microsoft.com/office/drawing/2014/chart" uri="{C3380CC4-5D6E-409C-BE32-E72D297353CC}">
              <c16:uniqueId val="{00000000-D057-43EB-B443-7462AC5C4163}"/>
            </c:ext>
          </c:extLst>
        </c:ser>
        <c:dLbls>
          <c:showLegendKey val="0"/>
          <c:showVal val="0"/>
          <c:showCatName val="0"/>
          <c:showSerName val="0"/>
          <c:showPercent val="0"/>
          <c:showBubbleSize val="0"/>
        </c:dLbls>
        <c:gapWidth val="150"/>
        <c:overlap val="100"/>
        <c:axId val="753742639"/>
        <c:axId val="753737231"/>
      </c:barChart>
      <c:catAx>
        <c:axId val="75374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737231"/>
        <c:crosses val="autoZero"/>
        <c:auto val="1"/>
        <c:lblAlgn val="ctr"/>
        <c:lblOffset val="100"/>
        <c:noMultiLvlLbl val="0"/>
      </c:catAx>
      <c:valAx>
        <c:axId val="75373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742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278B9"/>
                </a:solidFill>
                <a:latin typeface="Times New Roman" panose="02020603050405020304" pitchFamily="18" charset="0"/>
                <a:cs typeface="Times New Roman" panose="02020603050405020304" pitchFamily="18" charset="0"/>
              </a:rPr>
              <a:t>Cơ</a:t>
            </a:r>
            <a:r>
              <a:rPr lang="en-US" b="1" baseline="0">
                <a:solidFill>
                  <a:srgbClr val="2278B9"/>
                </a:solidFill>
                <a:latin typeface="Times New Roman" panose="02020603050405020304" pitchFamily="18" charset="0"/>
                <a:cs typeface="Times New Roman" panose="02020603050405020304" pitchFamily="18" charset="0"/>
              </a:rPr>
              <a:t> Cấu Trạng Thái Đơn Hàng</a:t>
            </a:r>
            <a:endParaRPr lang="en-US" b="1">
              <a:solidFill>
                <a:srgbClr val="2278B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2278B9"/>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s>
    <c:plotArea>
      <c:layout/>
      <c:pieChart>
        <c:varyColors val="1"/>
        <c:ser>
          <c:idx val="0"/>
          <c:order val="0"/>
          <c:tx>
            <c:strRef>
              <c:f>Data_analysis!$K$3</c:f>
              <c:strCache>
                <c:ptCount val="1"/>
                <c:pt idx="0">
                  <c:v>Total</c:v>
                </c:pt>
              </c:strCache>
            </c:strRef>
          </c:tx>
          <c:dPt>
            <c:idx val="0"/>
            <c:bubble3D val="0"/>
            <c:spPr>
              <a:solidFill>
                <a:srgbClr val="2278B9"/>
              </a:solidFill>
              <a:ln w="19050">
                <a:solidFill>
                  <a:schemeClr val="lt1"/>
                </a:solidFill>
              </a:ln>
              <a:effectLst/>
            </c:spPr>
            <c:extLst>
              <c:ext xmlns:c16="http://schemas.microsoft.com/office/drawing/2014/chart" uri="{C3380CC4-5D6E-409C-BE32-E72D297353CC}">
                <c16:uniqueId val="{00000001-BFAB-46A0-B9C0-A6AE9A339B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AB-46A0-B9C0-A6AE9A339B6D}"/>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BFAB-46A0-B9C0-A6AE9A339B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Data_analysis!$J$4:$J$7</c:f>
              <c:strCache>
                <c:ptCount val="3"/>
                <c:pt idx="0">
                  <c:v>Can</c:v>
                </c:pt>
                <c:pt idx="1">
                  <c:v>Com</c:v>
                </c:pt>
                <c:pt idx="2">
                  <c:v>pen</c:v>
                </c:pt>
              </c:strCache>
            </c:strRef>
          </c:cat>
          <c:val>
            <c:numRef>
              <c:f>Data_analysis!$K$4:$K$7</c:f>
              <c:numCache>
                <c:formatCode>General</c:formatCode>
                <c:ptCount val="3"/>
                <c:pt idx="0">
                  <c:v>64</c:v>
                </c:pt>
                <c:pt idx="1">
                  <c:v>78</c:v>
                </c:pt>
                <c:pt idx="2">
                  <c:v>76</c:v>
                </c:pt>
              </c:numCache>
            </c:numRef>
          </c:val>
          <c:extLst>
            <c:ext xmlns:c16="http://schemas.microsoft.com/office/drawing/2014/chart" uri="{C3380CC4-5D6E-409C-BE32-E72D297353CC}">
              <c16:uniqueId val="{00000006-BFAB-46A0-B9C0-A6AE9A339B6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2278B9"/>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DF3F13"/>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6">
              <a:lumMod val="75000"/>
            </a:schemeClr>
          </a:solidFill>
          <a:ln w="19050">
            <a:solidFill>
              <a:schemeClr val="lt1"/>
            </a:solidFill>
          </a:ln>
          <a:effectLst/>
        </c:spPr>
      </c:pivotFmt>
    </c:pivotFmts>
    <c:plotArea>
      <c:layout/>
      <c:pieChart>
        <c:varyColors val="1"/>
        <c:ser>
          <c:idx val="0"/>
          <c:order val="0"/>
          <c:tx>
            <c:strRef>
              <c:f>Data_analysis!$K$9</c:f>
              <c:strCache>
                <c:ptCount val="1"/>
                <c:pt idx="0">
                  <c:v>Total</c:v>
                </c:pt>
              </c:strCache>
            </c:strRef>
          </c:tx>
          <c:dPt>
            <c:idx val="0"/>
            <c:bubble3D val="0"/>
            <c:spPr>
              <a:solidFill>
                <a:srgbClr val="2278B9"/>
              </a:solidFill>
              <a:ln w="19050">
                <a:solidFill>
                  <a:schemeClr val="lt1"/>
                </a:solidFill>
              </a:ln>
              <a:effectLst/>
            </c:spPr>
            <c:extLst>
              <c:ext xmlns:c16="http://schemas.microsoft.com/office/drawing/2014/chart" uri="{C3380CC4-5D6E-409C-BE32-E72D297353CC}">
                <c16:uniqueId val="{00000001-84EA-454B-8794-FD7975944A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EA-454B-8794-FD7975944A12}"/>
              </c:ext>
            </c:extLst>
          </c:dPt>
          <c:dPt>
            <c:idx val="2"/>
            <c:bubble3D val="0"/>
            <c:spPr>
              <a:solidFill>
                <a:srgbClr val="DF3F13"/>
              </a:solidFill>
              <a:ln w="19050">
                <a:solidFill>
                  <a:schemeClr val="lt1"/>
                </a:solidFill>
              </a:ln>
              <a:effectLst/>
            </c:spPr>
            <c:extLst>
              <c:ext xmlns:c16="http://schemas.microsoft.com/office/drawing/2014/chart" uri="{C3380CC4-5D6E-409C-BE32-E72D297353CC}">
                <c16:uniqueId val="{00000005-84EA-454B-8794-FD7975944A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EA-454B-8794-FD7975944A12}"/>
              </c:ext>
            </c:extLst>
          </c:dPt>
          <c:dPt>
            <c:idx val="4"/>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84EA-454B-8794-FD7975944A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Data_analysis!$J$10:$J$15</c:f>
              <c:strCache>
                <c:ptCount val="5"/>
                <c:pt idx="0">
                  <c:v>Amazon Pay</c:v>
                </c:pt>
                <c:pt idx="1">
                  <c:v>Credit Card</c:v>
                </c:pt>
                <c:pt idx="2">
                  <c:v>Debit Card</c:v>
                </c:pt>
                <c:pt idx="3">
                  <c:v>Gift Card</c:v>
                </c:pt>
                <c:pt idx="4">
                  <c:v>PayPal</c:v>
                </c:pt>
              </c:strCache>
            </c:strRef>
          </c:cat>
          <c:val>
            <c:numRef>
              <c:f>Data_analysis!$K$10:$K$15</c:f>
              <c:numCache>
                <c:formatCode>General</c:formatCode>
                <c:ptCount val="5"/>
                <c:pt idx="0">
                  <c:v>34</c:v>
                </c:pt>
                <c:pt idx="1">
                  <c:v>49</c:v>
                </c:pt>
                <c:pt idx="2">
                  <c:v>47</c:v>
                </c:pt>
                <c:pt idx="3">
                  <c:v>36</c:v>
                </c:pt>
                <c:pt idx="4">
                  <c:v>52</c:v>
                </c:pt>
              </c:numCache>
            </c:numRef>
          </c:val>
          <c:extLst>
            <c:ext xmlns:c16="http://schemas.microsoft.com/office/drawing/2014/chart" uri="{C3380CC4-5D6E-409C-BE32-E72D297353CC}">
              <c16:uniqueId val="{0000000A-84EA-454B-8794-FD7975944A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278B9"/>
                </a:solidFill>
                <a:latin typeface="Times New Roman" panose="02020603050405020304" pitchFamily="18" charset="0"/>
                <a:cs typeface="Times New Roman" panose="02020603050405020304" pitchFamily="18" charset="0"/>
              </a:rPr>
              <a:t>Top</a:t>
            </a:r>
            <a:r>
              <a:rPr lang="en-US" b="1" baseline="0">
                <a:solidFill>
                  <a:srgbClr val="2278B9"/>
                </a:solidFill>
                <a:latin typeface="Times New Roman" panose="02020603050405020304" pitchFamily="18" charset="0"/>
                <a:cs typeface="Times New Roman" panose="02020603050405020304" pitchFamily="18" charset="0"/>
              </a:rPr>
              <a:t> 5 and Bottom 5</a:t>
            </a:r>
            <a:endParaRPr lang="en-US" b="1">
              <a:solidFill>
                <a:srgbClr val="2278B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40000"/>
              <a:lumOff val="60000"/>
            </a:schemeClr>
          </a:solidFill>
          <a:ln>
            <a:noFill/>
          </a:ln>
          <a:effectLst/>
        </c:spPr>
      </c:pivotFmt>
      <c:pivotFmt>
        <c:idx val="6"/>
        <c:spPr>
          <a:solidFill>
            <a:srgbClr val="DF3F13"/>
          </a:solidFill>
          <a:ln>
            <a:noFill/>
          </a:ln>
          <a:effectLst/>
        </c:spPr>
        <c:dLbl>
          <c:idx val="0"/>
          <c:layout>
            <c:manualLayout>
              <c:x val="2.457758485556308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0624A"/>
          </a:solidFill>
          <a:ln>
            <a:noFill/>
          </a:ln>
          <a:effectLst/>
        </c:spPr>
        <c:dLbl>
          <c:idx val="0"/>
          <c:layout>
            <c:manualLayout>
              <c:x val="-5.6322981312779192E-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3B0A3"/>
          </a:solidFill>
          <a:ln>
            <a:noFill/>
          </a:ln>
          <a:effectLst/>
        </c:spPr>
        <c:dLbl>
          <c:idx val="0"/>
          <c:layout>
            <c:manualLayout>
              <c:x val="1.2288792427781517E-2"/>
              <c:y val="-2.6827626794335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Data_analysis!$B$37</c:f>
              <c:strCache>
                <c:ptCount val="1"/>
                <c:pt idx="0">
                  <c:v>Total</c:v>
                </c:pt>
              </c:strCache>
            </c:strRef>
          </c:tx>
          <c:spPr>
            <a:solidFill>
              <a:schemeClr val="accent1"/>
            </a:solidFill>
            <a:ln>
              <a:noFill/>
            </a:ln>
            <a:effectLst/>
          </c:spPr>
          <c:invertIfNegative val="0"/>
          <c:dPt>
            <c:idx val="0"/>
            <c:invertIfNegative val="0"/>
            <c:bubble3D val="0"/>
            <c:spPr>
              <a:solidFill>
                <a:srgbClr val="DF3F13"/>
              </a:solidFill>
              <a:ln>
                <a:noFill/>
              </a:ln>
              <a:effectLst/>
            </c:spPr>
            <c:extLst>
              <c:ext xmlns:c16="http://schemas.microsoft.com/office/drawing/2014/chart" uri="{C3380CC4-5D6E-409C-BE32-E72D297353CC}">
                <c16:uniqueId val="{00000007-3E5E-4517-A4CF-A1350B58859F}"/>
              </c:ext>
            </c:extLst>
          </c:dPt>
          <c:dPt>
            <c:idx val="1"/>
            <c:invertIfNegative val="0"/>
            <c:bubble3D val="0"/>
            <c:spPr>
              <a:solidFill>
                <a:srgbClr val="F0624A"/>
              </a:solidFill>
              <a:ln>
                <a:noFill/>
              </a:ln>
              <a:effectLst/>
            </c:spPr>
            <c:extLst>
              <c:ext xmlns:c16="http://schemas.microsoft.com/office/drawing/2014/chart" uri="{C3380CC4-5D6E-409C-BE32-E72D297353CC}">
                <c16:uniqueId val="{00000008-3E5E-4517-A4CF-A1350B58859F}"/>
              </c:ext>
            </c:extLst>
          </c:dPt>
          <c:dPt>
            <c:idx val="2"/>
            <c:invertIfNegative val="0"/>
            <c:bubble3D val="0"/>
            <c:spPr>
              <a:solidFill>
                <a:srgbClr val="F3B0A3"/>
              </a:solidFill>
              <a:ln>
                <a:noFill/>
              </a:ln>
              <a:effectLst/>
            </c:spPr>
            <c:extLst>
              <c:ext xmlns:c16="http://schemas.microsoft.com/office/drawing/2014/chart" uri="{C3380CC4-5D6E-409C-BE32-E72D297353CC}">
                <c16:uniqueId val="{00000009-3E5E-4517-A4CF-A1350B58859F}"/>
              </c:ext>
            </c:extLst>
          </c:dPt>
          <c:dPt>
            <c:idx val="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B4A2-4BC6-91EF-11524FAE5493}"/>
              </c:ext>
            </c:extLst>
          </c:dPt>
          <c:dPt>
            <c:idx val="8"/>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B4A2-4BC6-91EF-11524FAE5493}"/>
              </c:ext>
            </c:extLst>
          </c:dPt>
          <c:dPt>
            <c:idx val="9"/>
            <c:invertIfNegative val="0"/>
            <c:bubble3D val="0"/>
            <c:spPr>
              <a:solidFill>
                <a:schemeClr val="accent6">
                  <a:lumMod val="75000"/>
                </a:schemeClr>
              </a:solidFill>
              <a:ln>
                <a:noFill/>
              </a:ln>
              <a:effectLst/>
            </c:spPr>
            <c:extLst>
              <c:ext xmlns:c16="http://schemas.microsoft.com/office/drawing/2014/chart" uri="{C3380CC4-5D6E-409C-BE32-E72D297353CC}">
                <c16:uniqueId val="{00000005-E735-48C1-9DCB-49C3C47144F8}"/>
              </c:ext>
            </c:extLst>
          </c:dPt>
          <c:dLbls>
            <c:dLbl>
              <c:idx val="0"/>
              <c:layout>
                <c:manualLayout>
                  <c:x val="2.4577584855563089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5E-4517-A4CF-A1350B58859F}"/>
                </c:ext>
              </c:extLst>
            </c:dLbl>
            <c:dLbl>
              <c:idx val="1"/>
              <c:layout>
                <c:manualLayout>
                  <c:x val="-5.6322981312779192E-1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E5E-4517-A4CF-A1350B58859F}"/>
                </c:ext>
              </c:extLst>
            </c:dLbl>
            <c:dLbl>
              <c:idx val="2"/>
              <c:layout>
                <c:manualLayout>
                  <c:x val="1.2288792427781517E-2"/>
                  <c:y val="-2.68276267943351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E5E-4517-A4CF-A1350B5885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Data_analysis!$A$38:$A$48</c:f>
              <c:strCache>
                <c:ptCount val="10"/>
                <c:pt idx="0">
                  <c:v>Sophia Miller</c:v>
                </c:pt>
                <c:pt idx="1">
                  <c:v>Daniel Harris</c:v>
                </c:pt>
                <c:pt idx="2">
                  <c:v>Emily Johnson</c:v>
                </c:pt>
                <c:pt idx="3">
                  <c:v>Chris White</c:v>
                </c:pt>
                <c:pt idx="4">
                  <c:v>David Lee</c:v>
                </c:pt>
                <c:pt idx="5">
                  <c:v>Michael Brown</c:v>
                </c:pt>
                <c:pt idx="6">
                  <c:v>John Doe</c:v>
                </c:pt>
                <c:pt idx="7">
                  <c:v>Jane Smith</c:v>
                </c:pt>
                <c:pt idx="8">
                  <c:v>Emma Clark</c:v>
                </c:pt>
                <c:pt idx="9">
                  <c:v>Olivia Wilson</c:v>
                </c:pt>
              </c:strCache>
            </c:strRef>
          </c:cat>
          <c:val>
            <c:numRef>
              <c:f>Data_analysis!$B$38:$B$48</c:f>
              <c:numCache>
                <c:formatCode>General</c:formatCode>
                <c:ptCount val="10"/>
                <c:pt idx="0">
                  <c:v>8395</c:v>
                </c:pt>
                <c:pt idx="1">
                  <c:v>16495</c:v>
                </c:pt>
                <c:pt idx="2">
                  <c:v>17775</c:v>
                </c:pt>
                <c:pt idx="3">
                  <c:v>18585</c:v>
                </c:pt>
                <c:pt idx="4">
                  <c:v>20025</c:v>
                </c:pt>
                <c:pt idx="5">
                  <c:v>20155</c:v>
                </c:pt>
                <c:pt idx="6">
                  <c:v>22460</c:v>
                </c:pt>
                <c:pt idx="7">
                  <c:v>26885</c:v>
                </c:pt>
                <c:pt idx="8">
                  <c:v>29400</c:v>
                </c:pt>
                <c:pt idx="9">
                  <c:v>32640</c:v>
                </c:pt>
              </c:numCache>
            </c:numRef>
          </c:val>
          <c:extLst>
            <c:ext xmlns:c16="http://schemas.microsoft.com/office/drawing/2014/chart" uri="{C3380CC4-5D6E-409C-BE32-E72D297353CC}">
              <c16:uniqueId val="{00000000-241F-4BB4-9493-24CBEB892D62}"/>
            </c:ext>
          </c:extLst>
        </c:ser>
        <c:dLbls>
          <c:dLblPos val="ctr"/>
          <c:showLegendKey val="0"/>
          <c:showVal val="1"/>
          <c:showCatName val="0"/>
          <c:showSerName val="0"/>
          <c:showPercent val="0"/>
          <c:showBubbleSize val="0"/>
        </c:dLbls>
        <c:gapWidth val="150"/>
        <c:overlap val="100"/>
        <c:axId val="753970447"/>
        <c:axId val="753971279"/>
      </c:barChart>
      <c:catAx>
        <c:axId val="75397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971279"/>
        <c:crosses val="autoZero"/>
        <c:auto val="1"/>
        <c:lblAlgn val="ctr"/>
        <c:lblOffset val="100"/>
        <c:noMultiLvlLbl val="0"/>
      </c:catAx>
      <c:valAx>
        <c:axId val="753971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97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278B9"/>
                </a:solidFill>
                <a:latin typeface="Times New Roman" panose="02020603050405020304" pitchFamily="18" charset="0"/>
                <a:cs typeface="Times New Roman" panose="02020603050405020304" pitchFamily="18" charset="0"/>
              </a:rPr>
              <a:t>Tổng Sản</a:t>
            </a:r>
            <a:r>
              <a:rPr lang="en-US" b="1" baseline="0">
                <a:solidFill>
                  <a:srgbClr val="2278B9"/>
                </a:solidFill>
                <a:latin typeface="Times New Roman" panose="02020603050405020304" pitchFamily="18" charset="0"/>
                <a:cs typeface="Times New Roman" panose="02020603050405020304" pitchFamily="18" charset="0"/>
              </a:rPr>
              <a:t> Lượng Bán</a:t>
            </a:r>
            <a:r>
              <a:rPr lang="en-US" b="1">
                <a:solidFill>
                  <a:srgbClr val="2278B9"/>
                </a:solidFill>
                <a:latin typeface="Times New Roman" panose="02020603050405020304" pitchFamily="18" charset="0"/>
                <a:cs typeface="Times New Roman" panose="02020603050405020304" pitchFamily="18" charset="0"/>
              </a:rPr>
              <a:t>Theo Tháng</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2278B9"/>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Data_analysis!$B$50</c:f>
              <c:strCache>
                <c:ptCount val="1"/>
                <c:pt idx="0">
                  <c:v>Total</c:v>
                </c:pt>
              </c:strCache>
            </c:strRef>
          </c:tx>
          <c:spPr>
            <a:solidFill>
              <a:srgbClr val="2278B9"/>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Data_analysis!$A$51:$A$63</c:f>
              <c:strCache>
                <c:ptCount val="12"/>
                <c:pt idx="0">
                  <c:v>03</c:v>
                </c:pt>
                <c:pt idx="1">
                  <c:v>02</c:v>
                </c:pt>
                <c:pt idx="2">
                  <c:v>06</c:v>
                </c:pt>
                <c:pt idx="3">
                  <c:v>10</c:v>
                </c:pt>
                <c:pt idx="4">
                  <c:v>04</c:v>
                </c:pt>
                <c:pt idx="5">
                  <c:v>07</c:v>
                </c:pt>
                <c:pt idx="6">
                  <c:v>08</c:v>
                </c:pt>
                <c:pt idx="7">
                  <c:v>11</c:v>
                </c:pt>
                <c:pt idx="8">
                  <c:v>12</c:v>
                </c:pt>
                <c:pt idx="9">
                  <c:v>09</c:v>
                </c:pt>
                <c:pt idx="10">
                  <c:v>05</c:v>
                </c:pt>
                <c:pt idx="11">
                  <c:v>01</c:v>
                </c:pt>
              </c:strCache>
            </c:strRef>
          </c:cat>
          <c:val>
            <c:numRef>
              <c:f>Data_analysis!$B$51:$B$63</c:f>
              <c:numCache>
                <c:formatCode>General</c:formatCode>
                <c:ptCount val="12"/>
                <c:pt idx="0">
                  <c:v>71330</c:v>
                </c:pt>
                <c:pt idx="1">
                  <c:v>66750</c:v>
                </c:pt>
                <c:pt idx="2">
                  <c:v>16620</c:v>
                </c:pt>
                <c:pt idx="3">
                  <c:v>14430</c:v>
                </c:pt>
                <c:pt idx="4">
                  <c:v>12700</c:v>
                </c:pt>
                <c:pt idx="5">
                  <c:v>10180</c:v>
                </c:pt>
                <c:pt idx="6">
                  <c:v>4765</c:v>
                </c:pt>
                <c:pt idx="7">
                  <c:v>4750</c:v>
                </c:pt>
                <c:pt idx="8">
                  <c:v>4270</c:v>
                </c:pt>
                <c:pt idx="9">
                  <c:v>3600</c:v>
                </c:pt>
                <c:pt idx="10">
                  <c:v>2900</c:v>
                </c:pt>
                <c:pt idx="11">
                  <c:v>520</c:v>
                </c:pt>
              </c:numCache>
            </c:numRef>
          </c:val>
          <c:extLst>
            <c:ext xmlns:c16="http://schemas.microsoft.com/office/drawing/2014/chart" uri="{C3380CC4-5D6E-409C-BE32-E72D297353CC}">
              <c16:uniqueId val="{0000001D-6E97-403E-9807-9C0E94800E22}"/>
            </c:ext>
          </c:extLst>
        </c:ser>
        <c:dLbls>
          <c:dLblPos val="outEnd"/>
          <c:showLegendKey val="0"/>
          <c:showVal val="1"/>
          <c:showCatName val="0"/>
          <c:showSerName val="0"/>
          <c:showPercent val="0"/>
          <c:showBubbleSize val="0"/>
        </c:dLbls>
        <c:gapWidth val="219"/>
        <c:overlap val="-27"/>
        <c:axId val="598904735"/>
        <c:axId val="598894751"/>
      </c:barChart>
      <c:catAx>
        <c:axId val="59890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894751"/>
        <c:crosses val="autoZero"/>
        <c:auto val="1"/>
        <c:lblAlgn val="ctr"/>
        <c:lblOffset val="100"/>
        <c:noMultiLvlLbl val="0"/>
      </c:catAx>
      <c:valAx>
        <c:axId val="59889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0473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278B9"/>
                </a:solidFill>
                <a:latin typeface="Times New Roman" panose="02020603050405020304" pitchFamily="18" charset="0"/>
                <a:cs typeface="Times New Roman" panose="02020603050405020304" pitchFamily="18" charset="0"/>
              </a:rPr>
              <a:t>Tổng</a:t>
            </a:r>
            <a:r>
              <a:rPr lang="en-US" sz="1400" b="1" baseline="0">
                <a:solidFill>
                  <a:srgbClr val="2278B9"/>
                </a:solidFill>
                <a:latin typeface="Times New Roman" panose="02020603050405020304" pitchFamily="18" charset="0"/>
                <a:cs typeface="Times New Roman" panose="02020603050405020304" pitchFamily="18" charset="0"/>
              </a:rPr>
              <a:t> Sản Lượng Bán Theo Category</a:t>
            </a:r>
            <a:endParaRPr lang="en-US" sz="1400" b="1">
              <a:solidFill>
                <a:srgbClr val="2278B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78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278B9"/>
          </a:solidFill>
          <a:ln>
            <a:noFill/>
          </a:ln>
          <a:effectLst/>
        </c:spPr>
        <c:dLbl>
          <c:idx val="0"/>
          <c:layout>
            <c:manualLayout>
              <c:x val="3.3333324584428939E-3"/>
              <c:y val="-0.32032739328636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278B9"/>
          </a:solidFill>
          <a:ln>
            <a:noFill/>
          </a:ln>
          <a:effectLst/>
        </c:spPr>
        <c:dLbl>
          <c:idx val="0"/>
          <c:layout>
            <c:manualLayout>
              <c:x val="0"/>
              <c:y val="-0.116706266979785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278B9"/>
          </a:solidFill>
          <a:ln>
            <a:noFill/>
          </a:ln>
          <a:effectLst/>
        </c:spPr>
        <c:dLbl>
          <c:idx val="0"/>
          <c:layout>
            <c:manualLayout>
              <c:x val="1.3333329833771636E-2"/>
              <c:y val="-0.103327347239489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278B9"/>
          </a:solidFill>
          <a:ln>
            <a:noFill/>
          </a:ln>
          <a:effectLst/>
        </c:spPr>
        <c:dLbl>
          <c:idx val="0"/>
          <c:layout>
            <c:manualLayout>
              <c:x val="-1.2222077823804751E-16"/>
              <c:y val="-7.9767923746373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278B9"/>
          </a:solidFill>
          <a:ln>
            <a:noFill/>
          </a:ln>
          <a:effectLst/>
        </c:spPr>
        <c:dLbl>
          <c:idx val="0"/>
          <c:layout>
            <c:manualLayout>
              <c:x val="9.9999973753287733E-3"/>
              <c:y val="-6.72307408942304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Data_analysis!$E$3</c:f>
              <c:strCache>
                <c:ptCount val="1"/>
                <c:pt idx="0">
                  <c:v>Total</c:v>
                </c:pt>
              </c:strCache>
            </c:strRef>
          </c:tx>
          <c:spPr>
            <a:solidFill>
              <a:srgbClr val="2278B9"/>
            </a:solidFill>
            <a:ln>
              <a:noFill/>
            </a:ln>
            <a:effectLst/>
          </c:spPr>
          <c:invertIfNegative val="0"/>
          <c:dPt>
            <c:idx val="0"/>
            <c:invertIfNegative val="0"/>
            <c:bubble3D val="0"/>
            <c:spPr>
              <a:solidFill>
                <a:srgbClr val="2278B9"/>
              </a:solidFill>
              <a:ln>
                <a:noFill/>
              </a:ln>
              <a:effectLst/>
            </c:spPr>
            <c:extLst>
              <c:ext xmlns:c16="http://schemas.microsoft.com/office/drawing/2014/chart" uri="{C3380CC4-5D6E-409C-BE32-E72D297353CC}">
                <c16:uniqueId val="{00000002-286F-4F6A-92D6-EE6BB9E4420C}"/>
              </c:ext>
            </c:extLst>
          </c:dPt>
          <c:dPt>
            <c:idx val="1"/>
            <c:invertIfNegative val="0"/>
            <c:bubble3D val="0"/>
            <c:spPr>
              <a:solidFill>
                <a:srgbClr val="2278B9"/>
              </a:solidFill>
              <a:ln>
                <a:noFill/>
              </a:ln>
              <a:effectLst/>
            </c:spPr>
            <c:extLst>
              <c:ext xmlns:c16="http://schemas.microsoft.com/office/drawing/2014/chart" uri="{C3380CC4-5D6E-409C-BE32-E72D297353CC}">
                <c16:uniqueId val="{00000003-286F-4F6A-92D6-EE6BB9E4420C}"/>
              </c:ext>
            </c:extLst>
          </c:dPt>
          <c:dPt>
            <c:idx val="2"/>
            <c:invertIfNegative val="0"/>
            <c:bubble3D val="0"/>
            <c:spPr>
              <a:solidFill>
                <a:srgbClr val="2278B9"/>
              </a:solidFill>
              <a:ln>
                <a:noFill/>
              </a:ln>
              <a:effectLst/>
            </c:spPr>
            <c:extLst>
              <c:ext xmlns:c16="http://schemas.microsoft.com/office/drawing/2014/chart" uri="{C3380CC4-5D6E-409C-BE32-E72D297353CC}">
                <c16:uniqueId val="{00000004-286F-4F6A-92D6-EE6BB9E4420C}"/>
              </c:ext>
            </c:extLst>
          </c:dPt>
          <c:dPt>
            <c:idx val="3"/>
            <c:invertIfNegative val="0"/>
            <c:bubble3D val="0"/>
            <c:spPr>
              <a:solidFill>
                <a:srgbClr val="2278B9"/>
              </a:solidFill>
              <a:ln>
                <a:noFill/>
              </a:ln>
              <a:effectLst/>
            </c:spPr>
            <c:extLst>
              <c:ext xmlns:c16="http://schemas.microsoft.com/office/drawing/2014/chart" uri="{C3380CC4-5D6E-409C-BE32-E72D297353CC}">
                <c16:uniqueId val="{00000005-286F-4F6A-92D6-EE6BB9E4420C}"/>
              </c:ext>
            </c:extLst>
          </c:dPt>
          <c:dPt>
            <c:idx val="4"/>
            <c:invertIfNegative val="0"/>
            <c:bubble3D val="0"/>
            <c:spPr>
              <a:solidFill>
                <a:srgbClr val="2278B9"/>
              </a:solidFill>
              <a:ln>
                <a:noFill/>
              </a:ln>
              <a:effectLst/>
            </c:spPr>
            <c:extLst>
              <c:ext xmlns:c16="http://schemas.microsoft.com/office/drawing/2014/chart" uri="{C3380CC4-5D6E-409C-BE32-E72D297353CC}">
                <c16:uniqueId val="{00000006-286F-4F6A-92D6-EE6BB9E4420C}"/>
              </c:ext>
            </c:extLst>
          </c:dPt>
          <c:dLbls>
            <c:dLbl>
              <c:idx val="0"/>
              <c:layout>
                <c:manualLayout>
                  <c:x val="3.3333324584428939E-3"/>
                  <c:y val="-0.32032739328636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6F-4F6A-92D6-EE6BB9E4420C}"/>
                </c:ext>
              </c:extLst>
            </c:dLbl>
            <c:dLbl>
              <c:idx val="1"/>
              <c:layout>
                <c:manualLayout>
                  <c:x val="0"/>
                  <c:y val="-0.116706266979785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6F-4F6A-92D6-EE6BB9E4420C}"/>
                </c:ext>
              </c:extLst>
            </c:dLbl>
            <c:dLbl>
              <c:idx val="2"/>
              <c:layout>
                <c:manualLayout>
                  <c:x val="1.3333329833771636E-2"/>
                  <c:y val="-0.1033273472394899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6F-4F6A-92D6-EE6BB9E4420C}"/>
                </c:ext>
              </c:extLst>
            </c:dLbl>
            <c:dLbl>
              <c:idx val="3"/>
              <c:layout>
                <c:manualLayout>
                  <c:x val="-1.2222077823804751E-16"/>
                  <c:y val="-7.976792374637381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6F-4F6A-92D6-EE6BB9E4420C}"/>
                </c:ext>
              </c:extLst>
            </c:dLbl>
            <c:dLbl>
              <c:idx val="4"/>
              <c:layout>
                <c:manualLayout>
                  <c:x val="9.9999973753287733E-3"/>
                  <c:y val="-6.723074089423043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6F-4F6A-92D6-EE6BB9E442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Data_analysis!$D$4:$D$9</c:f>
              <c:strCache>
                <c:ptCount val="5"/>
                <c:pt idx="0">
                  <c:v>Electronics</c:v>
                </c:pt>
                <c:pt idx="1">
                  <c:v>Clothing</c:v>
                </c:pt>
                <c:pt idx="2">
                  <c:v>Home Appliances</c:v>
                </c:pt>
                <c:pt idx="3">
                  <c:v>Books</c:v>
                </c:pt>
                <c:pt idx="4">
                  <c:v>Footwear</c:v>
                </c:pt>
              </c:strCache>
            </c:strRef>
          </c:cat>
          <c:val>
            <c:numRef>
              <c:f>Data_analysis!$E$4:$E$9</c:f>
              <c:numCache>
                <c:formatCode>General</c:formatCode>
                <c:ptCount val="5"/>
                <c:pt idx="0">
                  <c:v>332</c:v>
                </c:pt>
                <c:pt idx="1">
                  <c:v>90</c:v>
                </c:pt>
                <c:pt idx="2">
                  <c:v>88</c:v>
                </c:pt>
                <c:pt idx="3">
                  <c:v>60</c:v>
                </c:pt>
                <c:pt idx="4">
                  <c:v>59</c:v>
                </c:pt>
              </c:numCache>
            </c:numRef>
          </c:val>
          <c:extLst>
            <c:ext xmlns:c16="http://schemas.microsoft.com/office/drawing/2014/chart" uri="{C3380CC4-5D6E-409C-BE32-E72D297353CC}">
              <c16:uniqueId val="{00000000-286F-4F6A-92D6-EE6BB9E4420C}"/>
            </c:ext>
          </c:extLst>
        </c:ser>
        <c:dLbls>
          <c:dLblPos val="inEnd"/>
          <c:showLegendKey val="0"/>
          <c:showVal val="1"/>
          <c:showCatName val="0"/>
          <c:showSerName val="0"/>
          <c:showPercent val="0"/>
          <c:showBubbleSize val="0"/>
        </c:dLbls>
        <c:gapWidth val="150"/>
        <c:overlap val="100"/>
        <c:axId val="369374895"/>
        <c:axId val="369379887"/>
      </c:barChart>
      <c:catAx>
        <c:axId val="369374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379887"/>
        <c:crosses val="autoZero"/>
        <c:auto val="1"/>
        <c:lblAlgn val="ctr"/>
        <c:lblOffset val="100"/>
        <c:noMultiLvlLbl val="0"/>
      </c:catAx>
      <c:valAx>
        <c:axId val="36937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37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278B9"/>
                </a:solidFill>
                <a:latin typeface="Times New Roman" panose="02020603050405020304" pitchFamily="18" charset="0"/>
                <a:cs typeface="Times New Roman" panose="02020603050405020304" pitchFamily="18" charset="0"/>
              </a:rPr>
              <a:t>Tổng</a:t>
            </a:r>
            <a:r>
              <a:rPr lang="en-US" sz="1400" b="1" baseline="0">
                <a:solidFill>
                  <a:srgbClr val="2278B9"/>
                </a:solidFill>
                <a:latin typeface="Times New Roman" panose="02020603050405020304" pitchFamily="18" charset="0"/>
                <a:cs typeface="Times New Roman" panose="02020603050405020304" pitchFamily="18" charset="0"/>
              </a:rPr>
              <a:t> Sản Lượng Bán Theo Product</a:t>
            </a:r>
            <a:endParaRPr lang="en-US" sz="1400" b="1">
              <a:solidFill>
                <a:srgbClr val="2278B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78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Data_analysis!$E$11</c:f>
              <c:strCache>
                <c:ptCount val="1"/>
                <c:pt idx="0">
                  <c:v>Total</c:v>
                </c:pt>
              </c:strCache>
            </c:strRef>
          </c:tx>
          <c:spPr>
            <a:solidFill>
              <a:srgbClr val="2278B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Data_analysis!$D$12:$D$22</c:f>
              <c:strCache>
                <c:ptCount val="10"/>
                <c:pt idx="0">
                  <c:v>Smartwatch</c:v>
                </c:pt>
                <c:pt idx="1">
                  <c:v>Smartphone</c:v>
                </c:pt>
                <c:pt idx="2">
                  <c:v>Laptop</c:v>
                </c:pt>
                <c:pt idx="3">
                  <c:v>Book</c:v>
                </c:pt>
                <c:pt idx="4">
                  <c:v>Headphones</c:v>
                </c:pt>
                <c:pt idx="5">
                  <c:v>Running Shoes</c:v>
                </c:pt>
                <c:pt idx="6">
                  <c:v>Refrigerator</c:v>
                </c:pt>
                <c:pt idx="7">
                  <c:v>T-Shirt</c:v>
                </c:pt>
                <c:pt idx="8">
                  <c:v>Jeans</c:v>
                </c:pt>
                <c:pt idx="9">
                  <c:v>Washing Machine</c:v>
                </c:pt>
              </c:strCache>
            </c:strRef>
          </c:cat>
          <c:val>
            <c:numRef>
              <c:f>Data_analysis!$E$12:$E$22</c:f>
              <c:numCache>
                <c:formatCode>General</c:formatCode>
                <c:ptCount val="10"/>
                <c:pt idx="0">
                  <c:v>99</c:v>
                </c:pt>
                <c:pt idx="1">
                  <c:v>78</c:v>
                </c:pt>
                <c:pt idx="2">
                  <c:v>71</c:v>
                </c:pt>
                <c:pt idx="3">
                  <c:v>63</c:v>
                </c:pt>
                <c:pt idx="4">
                  <c:v>62</c:v>
                </c:pt>
                <c:pt idx="5">
                  <c:v>61</c:v>
                </c:pt>
                <c:pt idx="6">
                  <c:v>56</c:v>
                </c:pt>
                <c:pt idx="7">
                  <c:v>51</c:v>
                </c:pt>
                <c:pt idx="8">
                  <c:v>49</c:v>
                </c:pt>
                <c:pt idx="9">
                  <c:v>39</c:v>
                </c:pt>
              </c:numCache>
            </c:numRef>
          </c:val>
          <c:extLst>
            <c:ext xmlns:c16="http://schemas.microsoft.com/office/drawing/2014/chart" uri="{C3380CC4-5D6E-409C-BE32-E72D297353CC}">
              <c16:uniqueId val="{00000000-D617-4D19-919C-8DC435DCB55C}"/>
            </c:ext>
          </c:extLst>
        </c:ser>
        <c:dLbls>
          <c:showLegendKey val="0"/>
          <c:showVal val="0"/>
          <c:showCatName val="0"/>
          <c:showSerName val="0"/>
          <c:showPercent val="0"/>
          <c:showBubbleSize val="0"/>
        </c:dLbls>
        <c:gapWidth val="219"/>
        <c:overlap val="-27"/>
        <c:axId val="369097887"/>
        <c:axId val="369098303"/>
      </c:barChart>
      <c:catAx>
        <c:axId val="36909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98303"/>
        <c:crosses val="autoZero"/>
        <c:auto val="1"/>
        <c:lblAlgn val="ctr"/>
        <c:lblOffset val="100"/>
        <c:noMultiLvlLbl val="0"/>
      </c:catAx>
      <c:valAx>
        <c:axId val="36909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97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278B9"/>
                </a:solidFill>
                <a:latin typeface="Times New Roman" panose="02020603050405020304" pitchFamily="18" charset="0"/>
                <a:cs typeface="Times New Roman" panose="02020603050405020304" pitchFamily="18" charset="0"/>
              </a:rPr>
              <a:t>Tổng</a:t>
            </a:r>
            <a:r>
              <a:rPr lang="en-US" b="1" baseline="0">
                <a:solidFill>
                  <a:srgbClr val="2278B9"/>
                </a:solidFill>
                <a:latin typeface="Times New Roman" panose="02020603050405020304" pitchFamily="18" charset="0"/>
                <a:cs typeface="Times New Roman" panose="02020603050405020304" pitchFamily="18" charset="0"/>
              </a:rPr>
              <a:t> Sản Lượng Bán Theo Location</a:t>
            </a:r>
            <a:endParaRPr lang="en-US" b="1">
              <a:solidFill>
                <a:srgbClr val="2278B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78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Data_analysis!$E$24</c:f>
              <c:strCache>
                <c:ptCount val="1"/>
                <c:pt idx="0">
                  <c:v>Total</c:v>
                </c:pt>
              </c:strCache>
            </c:strRef>
          </c:tx>
          <c:spPr>
            <a:solidFill>
              <a:srgbClr val="2278B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Data_analysis!$D$25:$D$35</c:f>
              <c:strCache>
                <c:ptCount val="10"/>
                <c:pt idx="0">
                  <c:v>Denver</c:v>
                </c:pt>
                <c:pt idx="1">
                  <c:v>Miami</c:v>
                </c:pt>
                <c:pt idx="2">
                  <c:v>New York</c:v>
                </c:pt>
                <c:pt idx="3">
                  <c:v>Houston</c:v>
                </c:pt>
                <c:pt idx="4">
                  <c:v>Boston</c:v>
                </c:pt>
                <c:pt idx="5">
                  <c:v>Dallas</c:v>
                </c:pt>
                <c:pt idx="6">
                  <c:v>San Francisco</c:v>
                </c:pt>
                <c:pt idx="7">
                  <c:v>Seattle</c:v>
                </c:pt>
                <c:pt idx="8">
                  <c:v>Chicago</c:v>
                </c:pt>
                <c:pt idx="9">
                  <c:v>Los Angeles</c:v>
                </c:pt>
              </c:strCache>
            </c:strRef>
          </c:cat>
          <c:val>
            <c:numRef>
              <c:f>Data_analysis!$E$25:$E$35</c:f>
              <c:numCache>
                <c:formatCode>General</c:formatCode>
                <c:ptCount val="10"/>
                <c:pt idx="0">
                  <c:v>78</c:v>
                </c:pt>
                <c:pt idx="1">
                  <c:v>74</c:v>
                </c:pt>
                <c:pt idx="2">
                  <c:v>70</c:v>
                </c:pt>
                <c:pt idx="3">
                  <c:v>70</c:v>
                </c:pt>
                <c:pt idx="4">
                  <c:v>67</c:v>
                </c:pt>
                <c:pt idx="5">
                  <c:v>67</c:v>
                </c:pt>
                <c:pt idx="6">
                  <c:v>59</c:v>
                </c:pt>
                <c:pt idx="7">
                  <c:v>50</c:v>
                </c:pt>
                <c:pt idx="8">
                  <c:v>49</c:v>
                </c:pt>
                <c:pt idx="9">
                  <c:v>45</c:v>
                </c:pt>
              </c:numCache>
            </c:numRef>
          </c:val>
          <c:extLst>
            <c:ext xmlns:c16="http://schemas.microsoft.com/office/drawing/2014/chart" uri="{C3380CC4-5D6E-409C-BE32-E72D297353CC}">
              <c16:uniqueId val="{00000000-4850-42D8-8744-8C49BD6CBB73}"/>
            </c:ext>
          </c:extLst>
        </c:ser>
        <c:dLbls>
          <c:dLblPos val="outEnd"/>
          <c:showLegendKey val="0"/>
          <c:showVal val="1"/>
          <c:showCatName val="0"/>
          <c:showSerName val="0"/>
          <c:showPercent val="0"/>
          <c:showBubbleSize val="0"/>
        </c:dLbls>
        <c:gapWidth val="219"/>
        <c:overlap val="-27"/>
        <c:axId val="370647647"/>
        <c:axId val="370648063"/>
      </c:barChart>
      <c:catAx>
        <c:axId val="37064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48063"/>
        <c:crosses val="autoZero"/>
        <c:auto val="1"/>
        <c:lblAlgn val="ctr"/>
        <c:lblOffset val="100"/>
        <c:noMultiLvlLbl val="0"/>
      </c:catAx>
      <c:valAx>
        <c:axId val="37064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47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278B9"/>
                </a:solidFill>
                <a:latin typeface="Times New Roman" panose="02020603050405020304" pitchFamily="18" charset="0"/>
                <a:cs typeface="Times New Roman" panose="02020603050405020304" pitchFamily="18" charset="0"/>
              </a:rPr>
              <a:t>Phân</a:t>
            </a:r>
            <a:r>
              <a:rPr lang="en-US" b="1" baseline="0">
                <a:solidFill>
                  <a:srgbClr val="2278B9"/>
                </a:solidFill>
                <a:latin typeface="Times New Roman" panose="02020603050405020304" pitchFamily="18" charset="0"/>
                <a:cs typeface="Times New Roman" panose="02020603050405020304" pitchFamily="18" charset="0"/>
              </a:rPr>
              <a:t> Phối Giá Sản Phẩm</a:t>
            </a:r>
            <a:endParaRPr lang="en-US" b="1">
              <a:solidFill>
                <a:srgbClr val="2278B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Data_analysis!$H$3</c:f>
              <c:strCache>
                <c:ptCount val="1"/>
                <c:pt idx="0">
                  <c:v>Total</c:v>
                </c:pt>
              </c:strCache>
            </c:strRef>
          </c:tx>
          <c:spPr>
            <a:solidFill>
              <a:schemeClr val="accent2"/>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Data_analysis!$G$4:$G$13</c:f>
              <c:strCache>
                <c:ptCount val="9"/>
                <c:pt idx="0">
                  <c:v>15-34</c:v>
                </c:pt>
                <c:pt idx="1">
                  <c:v>35-54</c:v>
                </c:pt>
                <c:pt idx="2">
                  <c:v>55-74</c:v>
                </c:pt>
                <c:pt idx="3">
                  <c:v>95-114</c:v>
                </c:pt>
                <c:pt idx="4">
                  <c:v>135-154</c:v>
                </c:pt>
                <c:pt idx="5">
                  <c:v>495-514</c:v>
                </c:pt>
                <c:pt idx="6">
                  <c:v>595-614</c:v>
                </c:pt>
                <c:pt idx="7">
                  <c:v>795-814</c:v>
                </c:pt>
                <c:pt idx="8">
                  <c:v>1195-1214</c:v>
                </c:pt>
              </c:strCache>
            </c:strRef>
          </c:cat>
          <c:val>
            <c:numRef>
              <c:f>Data_analysis!$H$4:$H$13</c:f>
              <c:numCache>
                <c:formatCode>General</c:formatCode>
                <c:ptCount val="9"/>
                <c:pt idx="0">
                  <c:v>37</c:v>
                </c:pt>
                <c:pt idx="1">
                  <c:v>15</c:v>
                </c:pt>
                <c:pt idx="2">
                  <c:v>24</c:v>
                </c:pt>
                <c:pt idx="3">
                  <c:v>21</c:v>
                </c:pt>
                <c:pt idx="4">
                  <c:v>45</c:v>
                </c:pt>
                <c:pt idx="5">
                  <c:v>24</c:v>
                </c:pt>
                <c:pt idx="6">
                  <c:v>14</c:v>
                </c:pt>
                <c:pt idx="7">
                  <c:v>21</c:v>
                </c:pt>
                <c:pt idx="8">
                  <c:v>17</c:v>
                </c:pt>
              </c:numCache>
            </c:numRef>
          </c:val>
          <c:extLst>
            <c:ext xmlns:c16="http://schemas.microsoft.com/office/drawing/2014/chart" uri="{C3380CC4-5D6E-409C-BE32-E72D297353CC}">
              <c16:uniqueId val="{00000000-C9FA-4C45-AE53-40B36C7B902F}"/>
            </c:ext>
          </c:extLst>
        </c:ser>
        <c:dLbls>
          <c:showLegendKey val="0"/>
          <c:showVal val="0"/>
          <c:showCatName val="0"/>
          <c:showSerName val="0"/>
          <c:showPercent val="0"/>
          <c:showBubbleSize val="0"/>
        </c:dLbls>
        <c:gapWidth val="0"/>
        <c:overlap val="-27"/>
        <c:axId val="443614271"/>
        <c:axId val="443614687"/>
      </c:barChart>
      <c:catAx>
        <c:axId val="44361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614687"/>
        <c:crosses val="autoZero"/>
        <c:auto val="1"/>
        <c:lblAlgn val="ctr"/>
        <c:lblOffset val="100"/>
        <c:noMultiLvlLbl val="0"/>
      </c:catAx>
      <c:valAx>
        <c:axId val="44361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61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2278B9"/>
                </a:solidFill>
                <a:latin typeface="Times New Roman" panose="02020603050405020304" pitchFamily="18" charset="0"/>
                <a:cs typeface="Times New Roman" panose="02020603050405020304" pitchFamily="18" charset="0"/>
              </a:rPr>
              <a:t>Phân</a:t>
            </a:r>
            <a:r>
              <a:rPr lang="en-US" sz="1400" b="1" baseline="0">
                <a:solidFill>
                  <a:srgbClr val="2278B9"/>
                </a:solidFill>
                <a:latin typeface="Times New Roman" panose="02020603050405020304" pitchFamily="18" charset="0"/>
                <a:cs typeface="Times New Roman" panose="02020603050405020304" pitchFamily="18" charset="0"/>
              </a:rPr>
              <a:t> Phối Về Giá Giao Dịch</a:t>
            </a:r>
            <a:endParaRPr lang="en-US" sz="1400" b="1">
              <a:solidFill>
                <a:srgbClr val="2278B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Data_analysis!$H$22</c:f>
              <c:strCache>
                <c:ptCount val="1"/>
                <c:pt idx="0">
                  <c:v>Total</c:v>
                </c:pt>
              </c:strCache>
            </c:strRef>
          </c:tx>
          <c:spPr>
            <a:solidFill>
              <a:schemeClr val="accent2"/>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Data_analysis!$G$23:$G$44</c:f>
              <c:strCache>
                <c:ptCount val="21"/>
                <c:pt idx="0">
                  <c:v>15-114</c:v>
                </c:pt>
                <c:pt idx="1">
                  <c:v>115-214</c:v>
                </c:pt>
                <c:pt idx="2">
                  <c:v>215-314</c:v>
                </c:pt>
                <c:pt idx="3">
                  <c:v>315-414</c:v>
                </c:pt>
                <c:pt idx="4">
                  <c:v>415-514</c:v>
                </c:pt>
                <c:pt idx="5">
                  <c:v>515-614</c:v>
                </c:pt>
                <c:pt idx="6">
                  <c:v>715-814</c:v>
                </c:pt>
                <c:pt idx="7">
                  <c:v>915-1014</c:v>
                </c:pt>
                <c:pt idx="8">
                  <c:v>1115-1214</c:v>
                </c:pt>
                <c:pt idx="9">
                  <c:v>1415-1514</c:v>
                </c:pt>
                <c:pt idx="10">
                  <c:v>1515-1614</c:v>
                </c:pt>
                <c:pt idx="11">
                  <c:v>1715-1814</c:v>
                </c:pt>
                <c:pt idx="12">
                  <c:v>1915-2014</c:v>
                </c:pt>
                <c:pt idx="13">
                  <c:v>2315-2414</c:v>
                </c:pt>
                <c:pt idx="14">
                  <c:v>2415-2514</c:v>
                </c:pt>
                <c:pt idx="15">
                  <c:v>2915-3014</c:v>
                </c:pt>
                <c:pt idx="16">
                  <c:v>3115-3214</c:v>
                </c:pt>
                <c:pt idx="17">
                  <c:v>3515-3614</c:v>
                </c:pt>
                <c:pt idx="18">
                  <c:v>3915-4014</c:v>
                </c:pt>
                <c:pt idx="19">
                  <c:v>4715-4814</c:v>
                </c:pt>
                <c:pt idx="20">
                  <c:v>5915-6014</c:v>
                </c:pt>
              </c:strCache>
            </c:strRef>
          </c:cat>
          <c:val>
            <c:numRef>
              <c:f>Data_analysis!$H$23:$H$44</c:f>
              <c:numCache>
                <c:formatCode>General</c:formatCode>
                <c:ptCount val="21"/>
                <c:pt idx="0">
                  <c:v>56</c:v>
                </c:pt>
                <c:pt idx="1">
                  <c:v>30</c:v>
                </c:pt>
                <c:pt idx="2">
                  <c:v>22</c:v>
                </c:pt>
                <c:pt idx="3">
                  <c:v>5</c:v>
                </c:pt>
                <c:pt idx="4">
                  <c:v>16</c:v>
                </c:pt>
                <c:pt idx="5">
                  <c:v>8</c:v>
                </c:pt>
                <c:pt idx="6">
                  <c:v>11</c:v>
                </c:pt>
                <c:pt idx="7">
                  <c:v>6</c:v>
                </c:pt>
                <c:pt idx="8">
                  <c:v>6</c:v>
                </c:pt>
                <c:pt idx="9">
                  <c:v>6</c:v>
                </c:pt>
                <c:pt idx="10">
                  <c:v>2</c:v>
                </c:pt>
                <c:pt idx="11">
                  <c:v>3</c:v>
                </c:pt>
                <c:pt idx="12">
                  <c:v>5</c:v>
                </c:pt>
                <c:pt idx="13">
                  <c:v>17</c:v>
                </c:pt>
                <c:pt idx="14">
                  <c:v>4</c:v>
                </c:pt>
                <c:pt idx="15">
                  <c:v>2</c:v>
                </c:pt>
                <c:pt idx="16">
                  <c:v>4</c:v>
                </c:pt>
                <c:pt idx="17">
                  <c:v>5</c:v>
                </c:pt>
                <c:pt idx="18">
                  <c:v>4</c:v>
                </c:pt>
                <c:pt idx="19">
                  <c:v>4</c:v>
                </c:pt>
                <c:pt idx="20">
                  <c:v>2</c:v>
                </c:pt>
              </c:numCache>
            </c:numRef>
          </c:val>
          <c:extLst>
            <c:ext xmlns:c16="http://schemas.microsoft.com/office/drawing/2014/chart" uri="{C3380CC4-5D6E-409C-BE32-E72D297353CC}">
              <c16:uniqueId val="{00000000-72D3-4DB9-9CE3-478EA4F1A097}"/>
            </c:ext>
          </c:extLst>
        </c:ser>
        <c:dLbls>
          <c:dLblPos val="outEnd"/>
          <c:showLegendKey val="0"/>
          <c:showVal val="1"/>
          <c:showCatName val="0"/>
          <c:showSerName val="0"/>
          <c:showPercent val="0"/>
          <c:showBubbleSize val="0"/>
        </c:dLbls>
        <c:gapWidth val="0"/>
        <c:overlap val="-27"/>
        <c:axId val="597909711"/>
        <c:axId val="597916783"/>
      </c:barChart>
      <c:catAx>
        <c:axId val="59790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16783"/>
        <c:crosses val="autoZero"/>
        <c:auto val="1"/>
        <c:lblAlgn val="ctr"/>
        <c:lblOffset val="100"/>
        <c:noMultiLvlLbl val="0"/>
      </c:catAx>
      <c:valAx>
        <c:axId val="59791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09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[Sales_amazon.xlsx]Data_analysis!PivotTable16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2278B9"/>
                </a:solidFill>
                <a:latin typeface="Times New Roman" panose="02020603050405020304" pitchFamily="18" charset="0"/>
                <a:cs typeface="Times New Roman" panose="02020603050405020304" pitchFamily="18" charset="0"/>
              </a:rPr>
              <a:t>Tổng</a:t>
            </a:r>
            <a:r>
              <a:rPr lang="en-US" b="1" baseline="0">
                <a:solidFill>
                  <a:srgbClr val="2278B9"/>
                </a:solidFill>
                <a:latin typeface="Times New Roman" panose="02020603050405020304" pitchFamily="18" charset="0"/>
                <a:cs typeface="Times New Roman" panose="02020603050405020304" pitchFamily="18" charset="0"/>
              </a:rPr>
              <a:t> Sản Lượng Bán Theo Tháng</a:t>
            </a:r>
            <a:endParaRPr lang="en-US" b="1">
              <a:solidFill>
                <a:srgbClr val="2278B9"/>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Data_analysis!$E$50</c:f>
              <c:strCache>
                <c:ptCount val="1"/>
                <c:pt idx="0">
                  <c:v>Total</c:v>
                </c:pt>
              </c:strCache>
            </c:strRef>
          </c:tx>
          <c:spPr>
            <a:ln w="28575" cap="rnd">
              <a:solidFill>
                <a:schemeClr val="accent2"/>
              </a:solidFill>
              <a:round/>
            </a:ln>
            <a:effectLst/>
          </c:spPr>
          <c:marker>
            <c:symbol val="none"/>
          </c:marker>
          <c:cat>
            <c:strRef>
              <c:f>Data_analysis!$D$51:$D$63</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Data_analysis!$E$51:$E$63</c:f>
              <c:numCache>
                <c:formatCode>General</c:formatCode>
                <c:ptCount val="12"/>
                <c:pt idx="0">
                  <c:v>5</c:v>
                </c:pt>
                <c:pt idx="1">
                  <c:v>204</c:v>
                </c:pt>
                <c:pt idx="2">
                  <c:v>237</c:v>
                </c:pt>
                <c:pt idx="3">
                  <c:v>17</c:v>
                </c:pt>
                <c:pt idx="4">
                  <c:v>12</c:v>
                </c:pt>
                <c:pt idx="5">
                  <c:v>25</c:v>
                </c:pt>
                <c:pt idx="6">
                  <c:v>20</c:v>
                </c:pt>
                <c:pt idx="7">
                  <c:v>28</c:v>
                </c:pt>
                <c:pt idx="8">
                  <c:v>11</c:v>
                </c:pt>
                <c:pt idx="9">
                  <c:v>36</c:v>
                </c:pt>
                <c:pt idx="10">
                  <c:v>18</c:v>
                </c:pt>
                <c:pt idx="11">
                  <c:v>16</c:v>
                </c:pt>
              </c:numCache>
            </c:numRef>
          </c:val>
          <c:smooth val="0"/>
          <c:extLst>
            <c:ext xmlns:c16="http://schemas.microsoft.com/office/drawing/2014/chart" uri="{C3380CC4-5D6E-409C-BE32-E72D297353CC}">
              <c16:uniqueId val="{00000000-5900-432C-AD7A-06878AC9B57E}"/>
            </c:ext>
          </c:extLst>
        </c:ser>
        <c:dLbls>
          <c:showLegendKey val="0"/>
          <c:showVal val="0"/>
          <c:showCatName val="0"/>
          <c:showSerName val="0"/>
          <c:showPercent val="0"/>
          <c:showBubbleSize val="0"/>
        </c:dLbls>
        <c:smooth val="0"/>
        <c:axId val="600993599"/>
        <c:axId val="601007327"/>
      </c:lineChart>
      <c:catAx>
        <c:axId val="60099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007327"/>
        <c:crosses val="autoZero"/>
        <c:auto val="1"/>
        <c:lblAlgn val="ctr"/>
        <c:lblOffset val="100"/>
        <c:noMultiLvlLbl val="0"/>
      </c:catAx>
      <c:valAx>
        <c:axId val="60100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993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Cleanning_data!A1"/><Relationship Id="rId7" Type="http://schemas.openxmlformats.org/officeDocument/2006/relationships/hyperlink" Target="#Insights_and_Recomendations!A1"/><Relationship Id="rId2" Type="http://schemas.openxmlformats.org/officeDocument/2006/relationships/hyperlink" Target="#Raw_data!A1"/><Relationship Id="rId1" Type="http://schemas.openxmlformats.org/officeDocument/2006/relationships/image" Target="../media/image1.png"/><Relationship Id="rId6" Type="http://schemas.openxmlformats.org/officeDocument/2006/relationships/hyperlink" Target="#Dashboard_tab2!A1"/><Relationship Id="rId5" Type="http://schemas.openxmlformats.org/officeDocument/2006/relationships/hyperlink" Target="#Dashboard_tab1!A1"/><Relationship Id="rId4" Type="http://schemas.openxmlformats.org/officeDocument/2006/relationships/hyperlink" Target="#Data_analysis!A1"/></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Dashboard_tab2!A1"/><Relationship Id="rId5" Type="http://schemas.openxmlformats.org/officeDocument/2006/relationships/chart" Target="../charts/chart5.xml"/><Relationship Id="rId10" Type="http://schemas.openxmlformats.org/officeDocument/2006/relationships/hyperlink" Target="#Dashboard_tab1!A1"/><Relationship Id="rId4" Type="http://schemas.openxmlformats.org/officeDocument/2006/relationships/chart" Target="../charts/chart4.xml"/><Relationship Id="rId9"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chart" Target="../charts/chart8.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hyperlink" Target="#Dashboard_tab2!A1"/><Relationship Id="rId10" Type="http://schemas.openxmlformats.org/officeDocument/2006/relationships/chart" Target="../charts/chart13.xml"/><Relationship Id="rId4" Type="http://schemas.openxmlformats.org/officeDocument/2006/relationships/hyperlink" Target="#Dashboard_tab1!A1"/><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352426</xdr:colOff>
      <xdr:row>0</xdr:row>
      <xdr:rowOff>133351</xdr:rowOff>
    </xdr:from>
    <xdr:to>
      <xdr:col>26</xdr:col>
      <xdr:colOff>66676</xdr:colOff>
      <xdr:row>36</xdr:row>
      <xdr:rowOff>171451</xdr:rowOff>
    </xdr:to>
    <xdr:sp macro="" textlink="">
      <xdr:nvSpPr>
        <xdr:cNvPr id="3" name="Rectangle: Rounded Corners 2">
          <a:extLst>
            <a:ext uri="{FF2B5EF4-FFF2-40B4-BE49-F238E27FC236}">
              <a16:creationId xmlns:a16="http://schemas.microsoft.com/office/drawing/2014/main" id="{0627CD4C-4769-4D9B-BD82-F803EDD7E4BC}"/>
            </a:ext>
          </a:extLst>
        </xdr:cNvPr>
        <xdr:cNvSpPr/>
      </xdr:nvSpPr>
      <xdr:spPr>
        <a:xfrm>
          <a:off x="2181226" y="133351"/>
          <a:ext cx="13735050" cy="6896100"/>
        </a:xfrm>
        <a:prstGeom prst="roundRect">
          <a:avLst/>
        </a:prstGeom>
        <a:solidFill>
          <a:srgbClr val="2278B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Times New Roman" panose="02020603050405020304" pitchFamily="18" charset="0"/>
              <a:cs typeface="Times New Roman" panose="02020603050405020304" pitchFamily="18" charset="0"/>
            </a:rPr>
            <a:t>DỰ</a:t>
          </a:r>
          <a:r>
            <a:rPr lang="en-US" sz="1600" b="1" baseline="0">
              <a:latin typeface="Times New Roman" panose="02020603050405020304" pitchFamily="18" charset="0"/>
              <a:cs typeface="Times New Roman" panose="02020603050405020304" pitchFamily="18" charset="0"/>
            </a:rPr>
            <a:t> ÁN: PHÂN TÍCH DỮ LIỆU DOANH SỐ BÁN HÀNG CỦA SÀN THƯƠNG MẠI ĐIỆN TỬ AMAZON THEO THÁNG</a:t>
          </a:r>
          <a:endParaRPr lang="en-US" sz="1600" b="1">
            <a:latin typeface="Times New Roman" panose="02020603050405020304" pitchFamily="18" charset="0"/>
            <a:cs typeface="Times New Roman" panose="02020603050405020304" pitchFamily="18" charset="0"/>
          </a:endParaRPr>
        </a:p>
      </xdr:txBody>
    </xdr:sp>
    <xdr:clientData/>
  </xdr:twoCellAnchor>
  <xdr:oneCellAnchor>
    <xdr:from>
      <xdr:col>3</xdr:col>
      <xdr:colOff>447675</xdr:colOff>
      <xdr:row>4</xdr:row>
      <xdr:rowOff>123825</xdr:rowOff>
    </xdr:from>
    <xdr:ext cx="13604943" cy="1124667"/>
    <xdr:sp macro="" textlink="">
      <xdr:nvSpPr>
        <xdr:cNvPr id="4" name="TextBox 3">
          <a:extLst>
            <a:ext uri="{FF2B5EF4-FFF2-40B4-BE49-F238E27FC236}">
              <a16:creationId xmlns:a16="http://schemas.microsoft.com/office/drawing/2014/main" id="{6E4B1E08-171C-422F-B4F9-A1000D838F2B}"/>
            </a:ext>
          </a:extLst>
        </xdr:cNvPr>
        <xdr:cNvSpPr txBox="1"/>
      </xdr:nvSpPr>
      <xdr:spPr>
        <a:xfrm>
          <a:off x="2276475" y="885825"/>
          <a:ext cx="13604943" cy="1124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pPr algn="ctr"/>
          <a:r>
            <a:rPr lang="en-US" sz="1400" i="1">
              <a:solidFill>
                <a:schemeClr val="bg1"/>
              </a:solidFill>
              <a:latin typeface="Times New Roman" panose="02020603050405020304" pitchFamily="18" charset="0"/>
              <a:cs typeface="Times New Roman" panose="02020603050405020304" pitchFamily="18" charset="0"/>
            </a:rPr>
            <a:t>Mô</a:t>
          </a:r>
          <a:r>
            <a:rPr lang="en-US" sz="1400" i="1" baseline="0">
              <a:solidFill>
                <a:schemeClr val="bg1"/>
              </a:solidFill>
              <a:latin typeface="Times New Roman" panose="02020603050405020304" pitchFamily="18" charset="0"/>
              <a:cs typeface="Times New Roman" panose="02020603050405020304" pitchFamily="18" charset="0"/>
            </a:rPr>
            <a:t> tả: Dự án phân tích dữ liệu doanh số bán hàng của sàn thương mại điện tử amazon theo tháng được thực hiện trên tập dữ liệu Sales_amazon.xlsx thu thập trong năm 2025,</a:t>
          </a:r>
        </a:p>
        <a:p>
          <a:pPr algn="ctr"/>
          <a:r>
            <a:rPr lang="en-US" sz="1400" i="1" baseline="0">
              <a:solidFill>
                <a:schemeClr val="bg1"/>
              </a:solidFill>
              <a:latin typeface="Times New Roman" panose="02020603050405020304" pitchFamily="18" charset="0"/>
              <a:cs typeface="Times New Roman" panose="02020603050405020304" pitchFamily="18" charset="0"/>
            </a:rPr>
            <a:t>dự án trình bày đầy đủ quy trình của một dự án Da từ xử lý dữ liệu thô đến bảng điều khiển tương tác nằm tối ưu doanh thu, dự án đi theo các bước sau B1: thu thập dữ liệu </a:t>
          </a:r>
        </a:p>
        <a:p>
          <a:pPr algn="ctr"/>
          <a:r>
            <a:rPr lang="en-US" sz="1400" i="1" baseline="0">
              <a:solidFill>
                <a:schemeClr val="bg1"/>
              </a:solidFill>
              <a:latin typeface="Times New Roman" panose="02020603050405020304" pitchFamily="18" charset="0"/>
              <a:cs typeface="Times New Roman" panose="02020603050405020304" pitchFamily="18" charset="0"/>
            </a:rPr>
            <a:t>(sheet Raw_data), B2: Xử lý dữ liệu (sheet Cleanning_data), B3: Phân tích dữ liệu (sheet Data_analysis), B4: Xây dựng dashboard tương tác theo dõi doanh thu (sheet Dashboard1 và 2)</a:t>
          </a:r>
        </a:p>
        <a:p>
          <a:pPr algn="ctr"/>
          <a:r>
            <a:rPr lang="en-US" sz="1400" i="1" baseline="0">
              <a:solidFill>
                <a:schemeClr val="bg1"/>
              </a:solidFill>
              <a:latin typeface="Times New Roman" panose="02020603050405020304" pitchFamily="18" charset="0"/>
              <a:cs typeface="Times New Roman" panose="02020603050405020304" pitchFamily="18" charset="0"/>
            </a:rPr>
            <a:t>, B5: rút ra insight và đưa ra các recomendations nhằm cải thiện doanh số của công ty (sheet Insights_and_Recomendations), dự án nhằm mục đích tạo ra 1 công cụ để các CEO, trưởng </a:t>
          </a:r>
        </a:p>
        <a:p>
          <a:pPr algn="ctr"/>
          <a:r>
            <a:rPr lang="en-US" sz="1400" i="1" baseline="0">
              <a:solidFill>
                <a:schemeClr val="bg1"/>
              </a:solidFill>
              <a:latin typeface="Times New Roman" panose="02020603050405020304" pitchFamily="18" charset="0"/>
              <a:cs typeface="Times New Roman" panose="02020603050405020304" pitchFamily="18" charset="0"/>
            </a:rPr>
            <a:t>phòng có thể theo dõi tốt tình hình kinh doanh của công ty và các điểm cần phải lưu ý</a:t>
          </a:r>
          <a:endParaRPr lang="en-US" sz="1400" i="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361950</xdr:colOff>
      <xdr:row>29</xdr:row>
      <xdr:rowOff>171450</xdr:rowOff>
    </xdr:from>
    <xdr:ext cx="5530873" cy="1154162"/>
    <xdr:sp macro="" textlink="">
      <xdr:nvSpPr>
        <xdr:cNvPr id="5" name="TextBox 4">
          <a:extLst>
            <a:ext uri="{FF2B5EF4-FFF2-40B4-BE49-F238E27FC236}">
              <a16:creationId xmlns:a16="http://schemas.microsoft.com/office/drawing/2014/main" id="{AE9C0DD9-CA15-4C5C-9921-805161F77592}"/>
            </a:ext>
          </a:extLst>
        </xdr:cNvPr>
        <xdr:cNvSpPr txBox="1"/>
      </xdr:nvSpPr>
      <xdr:spPr>
        <a:xfrm>
          <a:off x="10115550" y="5695950"/>
          <a:ext cx="5530873" cy="11541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i="1">
              <a:solidFill>
                <a:schemeClr val="bg1"/>
              </a:solidFill>
              <a:latin typeface="Times New Roman" panose="02020603050405020304" pitchFamily="18" charset="0"/>
              <a:cs typeface="Times New Roman" panose="02020603050405020304" pitchFamily="18" charset="0"/>
            </a:rPr>
            <a:t>Tác</a:t>
          </a:r>
          <a:r>
            <a:rPr lang="en-US" sz="1800" b="1" i="1" baseline="0">
              <a:solidFill>
                <a:schemeClr val="bg1"/>
              </a:solidFill>
              <a:latin typeface="Times New Roman" panose="02020603050405020304" pitchFamily="18" charset="0"/>
              <a:cs typeface="Times New Roman" panose="02020603050405020304" pitchFamily="18" charset="0"/>
            </a:rPr>
            <a:t> Giả: Nguyễn Khắc Hưng</a:t>
          </a:r>
        </a:p>
        <a:p>
          <a:r>
            <a:rPr lang="en-US" sz="1800" b="1" i="1" baseline="0">
              <a:solidFill>
                <a:schemeClr val="bg1"/>
              </a:solidFill>
              <a:latin typeface="Times New Roman" panose="02020603050405020304" pitchFamily="18" charset="0"/>
              <a:cs typeface="Times New Roman" panose="02020603050405020304" pitchFamily="18" charset="0"/>
            </a:rPr>
            <a:t>Vị trí: Data Analyst</a:t>
          </a:r>
        </a:p>
        <a:p>
          <a:r>
            <a:rPr lang="en-US" sz="1800" b="1" i="1" baseline="0">
              <a:solidFill>
                <a:schemeClr val="bg1"/>
              </a:solidFill>
              <a:latin typeface="Times New Roman" panose="02020603050405020304" pitchFamily="18" charset="0"/>
              <a:cs typeface="Times New Roman" panose="02020603050405020304" pitchFamily="18" charset="0"/>
            </a:rPr>
            <a:t>Nghành : Công nghệ thông tin</a:t>
          </a:r>
        </a:p>
        <a:p>
          <a:r>
            <a:rPr lang="en-US" sz="1800" b="1" i="1" baseline="0">
              <a:solidFill>
                <a:schemeClr val="bg1"/>
              </a:solidFill>
              <a:latin typeface="Times New Roman" panose="02020603050405020304" pitchFamily="18" charset="0"/>
              <a:cs typeface="Times New Roman" panose="02020603050405020304" pitchFamily="18" charset="0"/>
            </a:rPr>
            <a:t>Chuyên nghành: Khoa học dữ liệu và Trí tuệ nhân tạo</a:t>
          </a:r>
          <a:endParaRPr lang="en-US" sz="1800" b="1" i="1">
            <a:solidFill>
              <a:schemeClr val="bg1"/>
            </a:solidFill>
            <a:latin typeface="Times New Roman" panose="02020603050405020304" pitchFamily="18" charset="0"/>
            <a:cs typeface="Times New Roman" panose="02020603050405020304" pitchFamily="18" charset="0"/>
          </a:endParaRPr>
        </a:p>
      </xdr:txBody>
    </xdr:sp>
    <xdr:clientData/>
  </xdr:oneCellAnchor>
  <xdr:twoCellAnchor editAs="oneCell">
    <xdr:from>
      <xdr:col>3</xdr:col>
      <xdr:colOff>533400</xdr:colOff>
      <xdr:row>27</xdr:row>
      <xdr:rowOff>180975</xdr:rowOff>
    </xdr:from>
    <xdr:to>
      <xdr:col>6</xdr:col>
      <xdr:colOff>247649</xdr:colOff>
      <xdr:row>36</xdr:row>
      <xdr:rowOff>9524</xdr:rowOff>
    </xdr:to>
    <xdr:pic>
      <xdr:nvPicPr>
        <xdr:cNvPr id="8" name="Picture 7">
          <a:extLst>
            <a:ext uri="{FF2B5EF4-FFF2-40B4-BE49-F238E27FC236}">
              <a16:creationId xmlns:a16="http://schemas.microsoft.com/office/drawing/2014/main" id="{E3BF52CC-C03C-4E15-AC95-F99CB87DD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62200" y="5324475"/>
          <a:ext cx="1543049" cy="1543049"/>
        </a:xfrm>
        <a:prstGeom prst="rect">
          <a:avLst/>
        </a:prstGeom>
      </xdr:spPr>
    </xdr:pic>
    <xdr:clientData/>
  </xdr:twoCellAnchor>
  <xdr:oneCellAnchor>
    <xdr:from>
      <xdr:col>7</xdr:col>
      <xdr:colOff>447675</xdr:colOff>
      <xdr:row>30</xdr:row>
      <xdr:rowOff>66675</xdr:rowOff>
    </xdr:from>
    <xdr:ext cx="4910640" cy="888705"/>
    <xdr:sp macro="" textlink="">
      <xdr:nvSpPr>
        <xdr:cNvPr id="9" name="TextBox 8">
          <a:extLst>
            <a:ext uri="{FF2B5EF4-FFF2-40B4-BE49-F238E27FC236}">
              <a16:creationId xmlns:a16="http://schemas.microsoft.com/office/drawing/2014/main" id="{7DFF1321-899D-4811-827B-61E878929922}"/>
            </a:ext>
          </a:extLst>
        </xdr:cNvPr>
        <xdr:cNvSpPr txBox="1"/>
      </xdr:nvSpPr>
      <xdr:spPr>
        <a:xfrm>
          <a:off x="4714875" y="5781675"/>
          <a:ext cx="4910640" cy="888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latin typeface="Times New Roman" panose="02020603050405020304" pitchFamily="18" charset="0"/>
              <a:cs typeface="Times New Roman" panose="02020603050405020304" pitchFamily="18" charset="0"/>
            </a:rPr>
            <a:t>Website:</a:t>
          </a:r>
          <a:r>
            <a:rPr lang="en-US" sz="1800" b="1" baseline="0">
              <a:solidFill>
                <a:schemeClr val="bg1"/>
              </a:solidFill>
              <a:latin typeface="Times New Roman" panose="02020603050405020304" pitchFamily="18" charset="0"/>
              <a:cs typeface="Times New Roman" panose="02020603050405020304" pitchFamily="18" charset="0"/>
            </a:rPr>
            <a:t> hungKHDL_AI.com</a:t>
          </a:r>
        </a:p>
        <a:p>
          <a:r>
            <a:rPr lang="en-US" sz="1800" b="1" baseline="0">
              <a:solidFill>
                <a:schemeClr val="bg1"/>
              </a:solidFill>
              <a:latin typeface="Times New Roman" panose="02020603050405020304" pitchFamily="18" charset="0"/>
              <a:cs typeface="Times New Roman" panose="02020603050405020304" pitchFamily="18" charset="0"/>
            </a:rPr>
            <a:t>github: </a:t>
          </a:r>
          <a:r>
            <a:rPr lang="en-US" sz="1800" b="1">
              <a:solidFill>
                <a:schemeClr val="bg1"/>
              </a:solidFill>
              <a:latin typeface="Times New Roman" panose="02020603050405020304" pitchFamily="18" charset="0"/>
              <a:cs typeface="Times New Roman" panose="02020603050405020304" pitchFamily="18" charset="0"/>
              <a:hlinkClick xmlns:r="http://schemas.openxmlformats.org/officeDocument/2006/relationships" r:id="">
                <a:extLst>
                  <a:ext uri="{A12FA001-AC4F-418D-AE19-62706E023703}">
                    <ahyp:hlinkClr xmlns:ahyp="http://schemas.microsoft.com/office/drawing/2018/hyperlinkcolor" val="tx"/>
                  </a:ext>
                </a:extLst>
              </a:hlinkClick>
            </a:rPr>
            <a:t>HungNguyenKhac2005 (Victor Nguyen)</a:t>
          </a:r>
          <a:endParaRPr lang="en-US" sz="1800" b="1">
            <a:solidFill>
              <a:schemeClr val="bg1"/>
            </a:solidFill>
            <a:latin typeface="Times New Roman" panose="02020603050405020304" pitchFamily="18" charset="0"/>
            <a:cs typeface="Times New Roman" panose="02020603050405020304" pitchFamily="18" charset="0"/>
          </a:endParaRPr>
        </a:p>
        <a:p>
          <a:r>
            <a:rPr lang="en-US" sz="1800" b="1">
              <a:solidFill>
                <a:schemeClr val="bg1"/>
              </a:solidFill>
              <a:latin typeface="Times New Roman" panose="02020603050405020304" pitchFamily="18" charset="0"/>
              <a:cs typeface="Times New Roman" panose="02020603050405020304" pitchFamily="18" charset="0"/>
            </a:rPr>
            <a:t>sdt: xxxxxxxxxx</a:t>
          </a:r>
        </a:p>
      </xdr:txBody>
    </xdr:sp>
    <xdr:clientData/>
  </xdr:oneCellAnchor>
  <xdr:twoCellAnchor>
    <xdr:from>
      <xdr:col>6</xdr:col>
      <xdr:colOff>323850</xdr:colOff>
      <xdr:row>12</xdr:row>
      <xdr:rowOff>9525</xdr:rowOff>
    </xdr:from>
    <xdr:to>
      <xdr:col>10</xdr:col>
      <xdr:colOff>600075</xdr:colOff>
      <xdr:row>17</xdr:row>
      <xdr:rowOff>142875</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FC1A664C-94B8-4942-93DD-6073E8765C60}"/>
            </a:ext>
          </a:extLst>
        </xdr:cNvPr>
        <xdr:cNvSpPr/>
      </xdr:nvSpPr>
      <xdr:spPr>
        <a:xfrm>
          <a:off x="3981450" y="2295525"/>
          <a:ext cx="2714625" cy="10858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2278B9"/>
              </a:solidFill>
              <a:latin typeface="Times New Roman" panose="02020603050405020304" pitchFamily="18" charset="0"/>
              <a:cs typeface="Times New Roman" panose="02020603050405020304" pitchFamily="18" charset="0"/>
            </a:rPr>
            <a:t>Raw</a:t>
          </a:r>
          <a:r>
            <a:rPr lang="en-US" sz="2800" b="1" baseline="0">
              <a:solidFill>
                <a:srgbClr val="2278B9"/>
              </a:solidFill>
              <a:latin typeface="Times New Roman" panose="02020603050405020304" pitchFamily="18" charset="0"/>
              <a:cs typeface="Times New Roman" panose="02020603050405020304" pitchFamily="18" charset="0"/>
            </a:rPr>
            <a:t> data</a:t>
          </a:r>
          <a:endParaRPr lang="en-US" sz="2800" b="1">
            <a:solidFill>
              <a:srgbClr val="2278B9"/>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257175</xdr:colOff>
      <xdr:row>12</xdr:row>
      <xdr:rowOff>28575</xdr:rowOff>
    </xdr:from>
    <xdr:to>
      <xdr:col>16</xdr:col>
      <xdr:colOff>533400</xdr:colOff>
      <xdr:row>17</xdr:row>
      <xdr:rowOff>161925</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E38C84EA-456D-4EC2-980B-52337AFB2265}"/>
            </a:ext>
          </a:extLst>
        </xdr:cNvPr>
        <xdr:cNvSpPr/>
      </xdr:nvSpPr>
      <xdr:spPr>
        <a:xfrm>
          <a:off x="7572375" y="2314575"/>
          <a:ext cx="2714625" cy="10858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2278B9"/>
              </a:solidFill>
              <a:latin typeface="Times New Roman" panose="02020603050405020304" pitchFamily="18" charset="0"/>
              <a:cs typeface="Times New Roman" panose="02020603050405020304" pitchFamily="18" charset="0"/>
            </a:rPr>
            <a:t>Cleanning</a:t>
          </a:r>
          <a:r>
            <a:rPr lang="en-US" sz="2800" b="1" baseline="0">
              <a:solidFill>
                <a:srgbClr val="2278B9"/>
              </a:solidFill>
              <a:latin typeface="Times New Roman" panose="02020603050405020304" pitchFamily="18" charset="0"/>
              <a:cs typeface="Times New Roman" panose="02020603050405020304" pitchFamily="18" charset="0"/>
            </a:rPr>
            <a:t> data</a:t>
          </a:r>
          <a:endParaRPr lang="en-US" sz="2800" b="1">
            <a:solidFill>
              <a:srgbClr val="2278B9"/>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142875</xdr:colOff>
      <xdr:row>12</xdr:row>
      <xdr:rowOff>66675</xdr:rowOff>
    </xdr:from>
    <xdr:to>
      <xdr:col>22</xdr:col>
      <xdr:colOff>419100</xdr:colOff>
      <xdr:row>18</xdr:row>
      <xdr:rowOff>9525</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B9B889F4-F64A-49C9-A3F5-678F0173223F}"/>
            </a:ext>
          </a:extLst>
        </xdr:cNvPr>
        <xdr:cNvSpPr/>
      </xdr:nvSpPr>
      <xdr:spPr>
        <a:xfrm>
          <a:off x="11115675" y="2352675"/>
          <a:ext cx="2714625" cy="10858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2278B9"/>
              </a:solidFill>
              <a:latin typeface="Times New Roman" panose="02020603050405020304" pitchFamily="18" charset="0"/>
              <a:cs typeface="Times New Roman" panose="02020603050405020304" pitchFamily="18" charset="0"/>
            </a:rPr>
            <a:t>Data</a:t>
          </a:r>
          <a:r>
            <a:rPr lang="en-US" sz="2800" b="1" baseline="0">
              <a:solidFill>
                <a:srgbClr val="2278B9"/>
              </a:solidFill>
              <a:latin typeface="Times New Roman" panose="02020603050405020304" pitchFamily="18" charset="0"/>
              <a:cs typeface="Times New Roman" panose="02020603050405020304" pitchFamily="18" charset="0"/>
            </a:rPr>
            <a:t> analysis</a:t>
          </a:r>
          <a:endParaRPr lang="en-US" sz="2800" b="1">
            <a:solidFill>
              <a:srgbClr val="2278B9"/>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419100</xdr:colOff>
      <xdr:row>19</xdr:row>
      <xdr:rowOff>180975</xdr:rowOff>
    </xdr:from>
    <xdr:to>
      <xdr:col>8</xdr:col>
      <xdr:colOff>85725</xdr:colOff>
      <xdr:row>25</xdr:row>
      <xdr:rowOff>123825</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5C8F7641-B4E1-4BA5-A280-4B62F0451641}"/>
            </a:ext>
          </a:extLst>
        </xdr:cNvPr>
        <xdr:cNvSpPr/>
      </xdr:nvSpPr>
      <xdr:spPr>
        <a:xfrm>
          <a:off x="2247900" y="3800475"/>
          <a:ext cx="2714625" cy="10858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2278B9"/>
              </a:solidFill>
              <a:latin typeface="Times New Roman" panose="02020603050405020304" pitchFamily="18" charset="0"/>
              <a:cs typeface="Times New Roman" panose="02020603050405020304" pitchFamily="18" charset="0"/>
            </a:rPr>
            <a:t>Dashboard</a:t>
          </a:r>
          <a:r>
            <a:rPr lang="en-US" sz="2800" b="1" baseline="0">
              <a:solidFill>
                <a:srgbClr val="2278B9"/>
              </a:solidFill>
              <a:latin typeface="Times New Roman" panose="02020603050405020304" pitchFamily="18" charset="0"/>
              <a:cs typeface="Times New Roman" panose="02020603050405020304" pitchFamily="18" charset="0"/>
            </a:rPr>
            <a:t>tab1</a:t>
          </a:r>
          <a:endParaRPr lang="en-US" sz="2800" b="1">
            <a:solidFill>
              <a:srgbClr val="2278B9"/>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247650</xdr:colOff>
      <xdr:row>19</xdr:row>
      <xdr:rowOff>161925</xdr:rowOff>
    </xdr:from>
    <xdr:to>
      <xdr:col>13</xdr:col>
      <xdr:colOff>523875</xdr:colOff>
      <xdr:row>25</xdr:row>
      <xdr:rowOff>104775</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FE7A2CE5-2546-4D97-9F65-8171053A484E}"/>
            </a:ext>
          </a:extLst>
        </xdr:cNvPr>
        <xdr:cNvSpPr/>
      </xdr:nvSpPr>
      <xdr:spPr>
        <a:xfrm>
          <a:off x="5734050" y="3781425"/>
          <a:ext cx="2714625" cy="10858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2278B9"/>
              </a:solidFill>
              <a:latin typeface="Times New Roman" panose="02020603050405020304" pitchFamily="18" charset="0"/>
              <a:cs typeface="Times New Roman" panose="02020603050405020304" pitchFamily="18" charset="0"/>
            </a:rPr>
            <a:t>Dashboard</a:t>
          </a:r>
          <a:r>
            <a:rPr lang="en-US" sz="2800" b="1" baseline="0">
              <a:solidFill>
                <a:srgbClr val="2278B9"/>
              </a:solidFill>
              <a:latin typeface="Times New Roman" panose="02020603050405020304" pitchFamily="18" charset="0"/>
              <a:cs typeface="Times New Roman" panose="02020603050405020304" pitchFamily="18" charset="0"/>
            </a:rPr>
            <a:t>tab2</a:t>
          </a:r>
          <a:endParaRPr lang="en-US" sz="2800" b="1">
            <a:solidFill>
              <a:srgbClr val="2278B9"/>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361950</xdr:colOff>
      <xdr:row>20</xdr:row>
      <xdr:rowOff>9525</xdr:rowOff>
    </xdr:from>
    <xdr:to>
      <xdr:col>20</xdr:col>
      <xdr:colOff>28575</xdr:colOff>
      <xdr:row>25</xdr:row>
      <xdr:rowOff>142875</xdr:rowOff>
    </xdr:to>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353410F3-CD18-4CD5-8AC4-BA1B396E95EB}"/>
            </a:ext>
          </a:extLst>
        </xdr:cNvPr>
        <xdr:cNvSpPr/>
      </xdr:nvSpPr>
      <xdr:spPr>
        <a:xfrm>
          <a:off x="9505950" y="3819525"/>
          <a:ext cx="2714625" cy="10858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2278B9"/>
              </a:solidFill>
              <a:latin typeface="Times New Roman" panose="02020603050405020304" pitchFamily="18" charset="0"/>
              <a:cs typeface="Times New Roman" panose="02020603050405020304" pitchFamily="18" charset="0"/>
            </a:rPr>
            <a:t>Insight</a:t>
          </a:r>
        </a:p>
      </xdr:txBody>
    </xdr:sp>
    <xdr:clientData/>
  </xdr:twoCellAnchor>
  <xdr:twoCellAnchor>
    <xdr:from>
      <xdr:col>21</xdr:col>
      <xdr:colOff>314325</xdr:colOff>
      <xdr:row>19</xdr:row>
      <xdr:rowOff>171450</xdr:rowOff>
    </xdr:from>
    <xdr:to>
      <xdr:col>25</xdr:col>
      <xdr:colOff>590550</xdr:colOff>
      <xdr:row>25</xdr:row>
      <xdr:rowOff>114300</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E70094D6-8213-4B95-A105-7D120DAA7D94}"/>
            </a:ext>
          </a:extLst>
        </xdr:cNvPr>
        <xdr:cNvSpPr/>
      </xdr:nvSpPr>
      <xdr:spPr>
        <a:xfrm>
          <a:off x="13115925" y="3790950"/>
          <a:ext cx="2714625" cy="10858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2278B9"/>
              </a:solidFill>
              <a:latin typeface="Times New Roman" panose="02020603050405020304" pitchFamily="18" charset="0"/>
              <a:cs typeface="Times New Roman" panose="02020603050405020304" pitchFamily="18" charset="0"/>
            </a:rPr>
            <a:t>Recomendation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9524</xdr:colOff>
      <xdr:row>1</xdr:row>
      <xdr:rowOff>9525</xdr:rowOff>
    </xdr:from>
    <xdr:to>
      <xdr:col>27</xdr:col>
      <xdr:colOff>495299</xdr:colOff>
      <xdr:row>36</xdr:row>
      <xdr:rowOff>180975</xdr:rowOff>
    </xdr:to>
    <xdr:sp macro="" textlink="">
      <xdr:nvSpPr>
        <xdr:cNvPr id="2" name="Rectangle 1">
          <a:extLst>
            <a:ext uri="{FF2B5EF4-FFF2-40B4-BE49-F238E27FC236}">
              <a16:creationId xmlns:a16="http://schemas.microsoft.com/office/drawing/2014/main" id="{FB939648-ED91-4446-9102-67D95CF1466F}"/>
            </a:ext>
          </a:extLst>
        </xdr:cNvPr>
        <xdr:cNvSpPr>
          <a:spLocks/>
        </xdr:cNvSpPr>
      </xdr:nvSpPr>
      <xdr:spPr>
        <a:xfrm>
          <a:off x="1838324" y="200025"/>
          <a:ext cx="15116175" cy="6838950"/>
        </a:xfrm>
        <a:prstGeom prst="rect">
          <a:avLst/>
        </a:prstGeom>
        <a:solidFill>
          <a:srgbClr val="2278B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endParaRPr lang="en-US" sz="1100"/>
        </a:p>
      </xdr:txBody>
    </xdr:sp>
    <xdr:clientData/>
  </xdr:twoCellAnchor>
  <xdr:oneCellAnchor>
    <xdr:from>
      <xdr:col>19</xdr:col>
      <xdr:colOff>66675</xdr:colOff>
      <xdr:row>16</xdr:row>
      <xdr:rowOff>171450</xdr:rowOff>
    </xdr:from>
    <xdr:ext cx="184731" cy="264560"/>
    <xdr:sp macro="" textlink="">
      <xdr:nvSpPr>
        <xdr:cNvPr id="3" name="TextBox 2">
          <a:extLst>
            <a:ext uri="{FF2B5EF4-FFF2-40B4-BE49-F238E27FC236}">
              <a16:creationId xmlns:a16="http://schemas.microsoft.com/office/drawing/2014/main" id="{4480DCF9-9626-4C4C-8078-A6D554D1815B}"/>
            </a:ext>
          </a:extLst>
        </xdr:cNvPr>
        <xdr:cNvSpPr txBox="1"/>
      </xdr:nvSpPr>
      <xdr:spPr>
        <a:xfrm>
          <a:off x="11649075" y="321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17</xdr:col>
      <xdr:colOff>504825</xdr:colOff>
      <xdr:row>14</xdr:row>
      <xdr:rowOff>95250</xdr:rowOff>
    </xdr:from>
    <xdr:ext cx="184731" cy="264560"/>
    <xdr:sp macro="" textlink="">
      <xdr:nvSpPr>
        <xdr:cNvPr id="12" name="TextBox 11">
          <a:extLst>
            <a:ext uri="{FF2B5EF4-FFF2-40B4-BE49-F238E27FC236}">
              <a16:creationId xmlns:a16="http://schemas.microsoft.com/office/drawing/2014/main" id="{EE3B8C92-AC65-4F2F-B4DA-2B37655A498B}"/>
            </a:ext>
          </a:extLst>
        </xdr:cNvPr>
        <xdr:cNvSpPr txBox="1"/>
      </xdr:nvSpPr>
      <xdr:spPr>
        <a:xfrm>
          <a:off x="10868025" y="2762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114300</xdr:colOff>
      <xdr:row>1</xdr:row>
      <xdr:rowOff>104775</xdr:rowOff>
    </xdr:from>
    <xdr:ext cx="6381750" cy="428626"/>
    <xdr:sp macro="" textlink="">
      <xdr:nvSpPr>
        <xdr:cNvPr id="14" name="TextBox 13">
          <a:extLst>
            <a:ext uri="{FF2B5EF4-FFF2-40B4-BE49-F238E27FC236}">
              <a16:creationId xmlns:a16="http://schemas.microsoft.com/office/drawing/2014/main" id="{718ADD60-1E2C-49D8-A13E-AF191F6AFC32}"/>
            </a:ext>
          </a:extLst>
        </xdr:cNvPr>
        <xdr:cNvSpPr txBox="1"/>
      </xdr:nvSpPr>
      <xdr:spPr>
        <a:xfrm>
          <a:off x="3771900" y="295275"/>
          <a:ext cx="6381750" cy="428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solidFill>
                <a:schemeClr val="bg1"/>
              </a:solidFill>
              <a:latin typeface="Times New Roman" panose="02020603050405020304" pitchFamily="18" charset="0"/>
              <a:cs typeface="Times New Roman" panose="02020603050405020304" pitchFamily="18" charset="0"/>
            </a:rPr>
            <a:t>BÁO</a:t>
          </a:r>
          <a:r>
            <a:rPr lang="en-US" sz="1800" b="1" baseline="0">
              <a:solidFill>
                <a:schemeClr val="bg1"/>
              </a:solidFill>
              <a:latin typeface="Times New Roman" panose="02020603050405020304" pitchFamily="18" charset="0"/>
              <a:cs typeface="Times New Roman" panose="02020603050405020304" pitchFamily="18" charset="0"/>
            </a:rPr>
            <a:t> CÁO DOANH SỐ AMAZON HÀNG THÁNG NĂM 2025</a:t>
          </a:r>
          <a:endParaRPr lang="en-US" sz="18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571500</xdr:colOff>
      <xdr:row>1</xdr:row>
      <xdr:rowOff>161925</xdr:rowOff>
    </xdr:from>
    <xdr:ext cx="847027" cy="254493"/>
    <xdr:sp macro="" textlink="">
      <xdr:nvSpPr>
        <xdr:cNvPr id="17" name="TextBox 16">
          <a:extLst>
            <a:ext uri="{FF2B5EF4-FFF2-40B4-BE49-F238E27FC236}">
              <a16:creationId xmlns:a16="http://schemas.microsoft.com/office/drawing/2014/main" id="{C5CDB6B3-9753-4069-ABE6-D70E323DC900}"/>
            </a:ext>
          </a:extLst>
        </xdr:cNvPr>
        <xdr:cNvSpPr txBox="1"/>
      </xdr:nvSpPr>
      <xdr:spPr>
        <a:xfrm>
          <a:off x="10325100" y="352425"/>
          <a:ext cx="84702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latin typeface="Times New Roman" panose="02020603050405020304" pitchFamily="18" charset="0"/>
              <a:ea typeface="+mn-ea"/>
              <a:cs typeface="Times New Roman" panose="02020603050405020304" pitchFamily="18" charset="0"/>
            </a:rPr>
            <a:t>ĐVT: USD</a:t>
          </a:r>
        </a:p>
      </xdr:txBody>
    </xdr:sp>
    <xdr:clientData/>
  </xdr:oneCellAnchor>
  <xdr:twoCellAnchor>
    <xdr:from>
      <xdr:col>3</xdr:col>
      <xdr:colOff>76201</xdr:colOff>
      <xdr:row>4</xdr:row>
      <xdr:rowOff>142875</xdr:rowOff>
    </xdr:from>
    <xdr:to>
      <xdr:col>4</xdr:col>
      <xdr:colOff>419100</xdr:colOff>
      <xdr:row>35</xdr:row>
      <xdr:rowOff>142875</xdr:rowOff>
    </xdr:to>
    <xdr:sp macro="" textlink="">
      <xdr:nvSpPr>
        <xdr:cNvPr id="18" name="Rectangle: Rounded Corners 17">
          <a:extLst>
            <a:ext uri="{FF2B5EF4-FFF2-40B4-BE49-F238E27FC236}">
              <a16:creationId xmlns:a16="http://schemas.microsoft.com/office/drawing/2014/main" id="{FB28B335-94C3-4778-B6C0-07A2D72C5EF1}"/>
            </a:ext>
          </a:extLst>
        </xdr:cNvPr>
        <xdr:cNvSpPr/>
      </xdr:nvSpPr>
      <xdr:spPr>
        <a:xfrm>
          <a:off x="1905001" y="904875"/>
          <a:ext cx="952499" cy="59055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endParaRPr lang="en-US" sz="1100"/>
        </a:p>
      </xdr:txBody>
    </xdr:sp>
    <xdr:clientData/>
  </xdr:twoCellAnchor>
  <xdr:twoCellAnchor editAs="absolute">
    <xdr:from>
      <xdr:col>19</xdr:col>
      <xdr:colOff>171450</xdr:colOff>
      <xdr:row>2</xdr:row>
      <xdr:rowOff>9524</xdr:rowOff>
    </xdr:from>
    <xdr:to>
      <xdr:col>22</xdr:col>
      <xdr:colOff>171450</xdr:colOff>
      <xdr:row>4</xdr:row>
      <xdr:rowOff>47625</xdr:rowOff>
    </xdr:to>
    <mc:AlternateContent xmlns:mc="http://schemas.openxmlformats.org/markup-compatibility/2006" xmlns:sle15="http://schemas.microsoft.com/office/drawing/2012/slicer">
      <mc:Choice Requires="sle15">
        <xdr:graphicFrame macro="">
          <xdr:nvGraphicFramePr>
            <xdr:cNvPr id="19" name="Date">
              <a:extLst>
                <a:ext uri="{FF2B5EF4-FFF2-40B4-BE49-F238E27FC236}">
                  <a16:creationId xmlns:a16="http://schemas.microsoft.com/office/drawing/2014/main" id="{225C044C-EFC3-47EF-82F3-1F7D77C392B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1753850" y="390524"/>
              <a:ext cx="1828800" cy="41910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476250</xdr:colOff>
      <xdr:row>1</xdr:row>
      <xdr:rowOff>180975</xdr:rowOff>
    </xdr:from>
    <xdr:to>
      <xdr:col>25</xdr:col>
      <xdr:colOff>476250</xdr:colOff>
      <xdr:row>4</xdr:row>
      <xdr:rowOff>47625</xdr:rowOff>
    </xdr:to>
    <mc:AlternateContent xmlns:mc="http://schemas.openxmlformats.org/markup-compatibility/2006" xmlns:sle15="http://schemas.microsoft.com/office/drawing/2012/slicer">
      <mc:Choice Requires="sle15">
        <xdr:graphicFrame macro="">
          <xdr:nvGraphicFramePr>
            <xdr:cNvPr id="21" name="Year">
              <a:extLst>
                <a:ext uri="{FF2B5EF4-FFF2-40B4-BE49-F238E27FC236}">
                  <a16:creationId xmlns:a16="http://schemas.microsoft.com/office/drawing/2014/main" id="{45172AA2-DE46-4307-AECF-760DB375DB3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887450" y="371475"/>
              <a:ext cx="1828800" cy="4381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oneCellAnchor>
    <xdr:from>
      <xdr:col>20</xdr:col>
      <xdr:colOff>19049</xdr:colOff>
      <xdr:row>0</xdr:row>
      <xdr:rowOff>152400</xdr:rowOff>
    </xdr:from>
    <xdr:ext cx="904875" cy="264560"/>
    <xdr:sp macro="" textlink="">
      <xdr:nvSpPr>
        <xdr:cNvPr id="22" name="TextBox 21">
          <a:extLst>
            <a:ext uri="{FF2B5EF4-FFF2-40B4-BE49-F238E27FC236}">
              <a16:creationId xmlns:a16="http://schemas.microsoft.com/office/drawing/2014/main" id="{BB0CF4DE-6B16-4547-B83C-D1571C6B1B38}"/>
            </a:ext>
          </a:extLst>
        </xdr:cNvPr>
        <xdr:cNvSpPr txBox="1"/>
      </xdr:nvSpPr>
      <xdr:spPr>
        <a:xfrm>
          <a:off x="12211049" y="152400"/>
          <a:ext cx="9048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bg1"/>
              </a:solidFill>
              <a:latin typeface="Times New Roman" panose="02020603050405020304" pitchFamily="18" charset="0"/>
              <a:ea typeface="+mn-ea"/>
              <a:cs typeface="Times New Roman" panose="02020603050405020304" pitchFamily="18" charset="0"/>
            </a:rPr>
            <a:t>Chọn</a:t>
          </a:r>
          <a:r>
            <a:rPr lang="en-US" sz="1100" baseline="0"/>
            <a:t> </a:t>
          </a:r>
          <a:r>
            <a:rPr lang="en-US" sz="1100" b="1">
              <a:solidFill>
                <a:schemeClr val="bg1"/>
              </a:solidFill>
              <a:latin typeface="Times New Roman" panose="02020603050405020304" pitchFamily="18" charset="0"/>
              <a:ea typeface="+mn-ea"/>
              <a:cs typeface="Times New Roman" panose="02020603050405020304" pitchFamily="18" charset="0"/>
            </a:rPr>
            <a:t>ngày</a:t>
          </a:r>
        </a:p>
      </xdr:txBody>
    </xdr:sp>
    <xdr:clientData/>
  </xdr:oneCellAnchor>
  <xdr:oneCellAnchor>
    <xdr:from>
      <xdr:col>23</xdr:col>
      <xdr:colOff>400050</xdr:colOff>
      <xdr:row>0</xdr:row>
      <xdr:rowOff>152400</xdr:rowOff>
    </xdr:from>
    <xdr:ext cx="812467" cy="264560"/>
    <xdr:sp macro="" textlink="">
      <xdr:nvSpPr>
        <xdr:cNvPr id="23" name="TextBox 22">
          <a:extLst>
            <a:ext uri="{FF2B5EF4-FFF2-40B4-BE49-F238E27FC236}">
              <a16:creationId xmlns:a16="http://schemas.microsoft.com/office/drawing/2014/main" id="{BAEF04D2-302D-48F2-BB76-BA99ADDAF345}"/>
            </a:ext>
          </a:extLst>
        </xdr:cNvPr>
        <xdr:cNvSpPr txBox="1"/>
      </xdr:nvSpPr>
      <xdr:spPr>
        <a:xfrm>
          <a:off x="14420850" y="152400"/>
          <a:ext cx="81246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latin typeface="Times New Roman" panose="02020603050405020304" pitchFamily="18" charset="0"/>
              <a:ea typeface="+mn-ea"/>
              <a:cs typeface="Times New Roman" panose="02020603050405020304" pitchFamily="18" charset="0"/>
            </a:rPr>
            <a:t>Chọn</a:t>
          </a:r>
          <a:r>
            <a:rPr lang="en-US" sz="1100" baseline="0"/>
            <a:t> </a:t>
          </a:r>
          <a:r>
            <a:rPr lang="en-US" sz="1100" b="1">
              <a:solidFill>
                <a:schemeClr val="bg1"/>
              </a:solidFill>
              <a:latin typeface="Times New Roman" panose="02020603050405020304" pitchFamily="18" charset="0"/>
              <a:ea typeface="+mn-ea"/>
              <a:cs typeface="Times New Roman" panose="02020603050405020304" pitchFamily="18" charset="0"/>
            </a:rPr>
            <a:t>năm</a:t>
          </a:r>
        </a:p>
      </xdr:txBody>
    </xdr:sp>
    <xdr:clientData/>
  </xdr:oneCellAnchor>
  <xdr:twoCellAnchor>
    <xdr:from>
      <xdr:col>4</xdr:col>
      <xdr:colOff>600075</xdr:colOff>
      <xdr:row>4</xdr:row>
      <xdr:rowOff>152400</xdr:rowOff>
    </xdr:from>
    <xdr:to>
      <xdr:col>7</xdr:col>
      <xdr:colOff>466725</xdr:colOff>
      <xdr:row>10</xdr:row>
      <xdr:rowOff>114300</xdr:rowOff>
    </xdr:to>
    <xdr:sp macro="" textlink="">
      <xdr:nvSpPr>
        <xdr:cNvPr id="24" name="Rectangle: Rounded Corners 23">
          <a:extLst>
            <a:ext uri="{FF2B5EF4-FFF2-40B4-BE49-F238E27FC236}">
              <a16:creationId xmlns:a16="http://schemas.microsoft.com/office/drawing/2014/main" id="{23B76BA7-E423-48EC-85E9-CC658BFB0E33}"/>
            </a:ext>
          </a:extLst>
        </xdr:cNvPr>
        <xdr:cNvSpPr/>
      </xdr:nvSpPr>
      <xdr:spPr>
        <a:xfrm>
          <a:off x="3038475" y="914400"/>
          <a:ext cx="1695450" cy="11049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2278B9"/>
              </a:solidFill>
              <a:latin typeface="Times New Roman" panose="02020603050405020304" pitchFamily="18" charset="0"/>
              <a:cs typeface="Times New Roman" panose="02020603050405020304" pitchFamily="18" charset="0"/>
            </a:rPr>
            <a:t>Tổng</a:t>
          </a:r>
          <a:r>
            <a:rPr lang="en-US" sz="1400" b="1" baseline="0">
              <a:solidFill>
                <a:srgbClr val="2278B9"/>
              </a:solidFill>
              <a:latin typeface="Times New Roman" panose="02020603050405020304" pitchFamily="18" charset="0"/>
              <a:cs typeface="Times New Roman" panose="02020603050405020304" pitchFamily="18" charset="0"/>
            </a:rPr>
            <a:t> Doanh Thu</a:t>
          </a:r>
          <a:endParaRPr lang="en-US" sz="1400" b="1">
            <a:solidFill>
              <a:srgbClr val="2278B9"/>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47625</xdr:colOff>
      <xdr:row>4</xdr:row>
      <xdr:rowOff>152400</xdr:rowOff>
    </xdr:from>
    <xdr:to>
      <xdr:col>10</xdr:col>
      <xdr:colOff>523875</xdr:colOff>
      <xdr:row>10</xdr:row>
      <xdr:rowOff>114300</xdr:rowOff>
    </xdr:to>
    <xdr:sp macro="" textlink="">
      <xdr:nvSpPr>
        <xdr:cNvPr id="31" name="Rectangle: Rounded Corners 30">
          <a:extLst>
            <a:ext uri="{FF2B5EF4-FFF2-40B4-BE49-F238E27FC236}">
              <a16:creationId xmlns:a16="http://schemas.microsoft.com/office/drawing/2014/main" id="{A7B55CAE-4C8E-4712-869D-C364332F3628}"/>
            </a:ext>
          </a:extLst>
        </xdr:cNvPr>
        <xdr:cNvSpPr/>
      </xdr:nvSpPr>
      <xdr:spPr>
        <a:xfrm>
          <a:off x="4924425" y="914400"/>
          <a:ext cx="1695450" cy="11049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Tổng</a:t>
          </a:r>
          <a:r>
            <a:rPr lang="en-US" sz="1100" b="1" baseline="0">
              <a:solidFill>
                <a:schemeClr val="lt1"/>
              </a:solidFill>
              <a:effectLst/>
              <a:latin typeface="+mn-lt"/>
              <a:ea typeface="+mn-ea"/>
              <a:cs typeface="+mn-cs"/>
            </a:rPr>
            <a:t> Doanh Thu</a:t>
          </a:r>
          <a:endParaRPr lang="en-US">
            <a:effectLst/>
          </a:endParaRPr>
        </a:p>
        <a:p>
          <a:pPr algn="l"/>
          <a:endParaRPr lang="en-US" sz="1100"/>
        </a:p>
      </xdr:txBody>
    </xdr:sp>
    <xdr:clientData/>
  </xdr:twoCellAnchor>
  <xdr:twoCellAnchor>
    <xdr:from>
      <xdr:col>11</xdr:col>
      <xdr:colOff>114300</xdr:colOff>
      <xdr:row>4</xdr:row>
      <xdr:rowOff>161925</xdr:rowOff>
    </xdr:from>
    <xdr:to>
      <xdr:col>13</xdr:col>
      <xdr:colOff>590550</xdr:colOff>
      <xdr:row>10</xdr:row>
      <xdr:rowOff>123825</xdr:rowOff>
    </xdr:to>
    <xdr:sp macro="" textlink="">
      <xdr:nvSpPr>
        <xdr:cNvPr id="32" name="Rectangle: Rounded Corners 31">
          <a:extLst>
            <a:ext uri="{FF2B5EF4-FFF2-40B4-BE49-F238E27FC236}">
              <a16:creationId xmlns:a16="http://schemas.microsoft.com/office/drawing/2014/main" id="{F6E71706-A30D-4CCB-8A21-53DD568875B4}"/>
            </a:ext>
          </a:extLst>
        </xdr:cNvPr>
        <xdr:cNvSpPr/>
      </xdr:nvSpPr>
      <xdr:spPr>
        <a:xfrm>
          <a:off x="6819900" y="923925"/>
          <a:ext cx="1695450" cy="11049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2278B9"/>
              </a:solidFill>
              <a:latin typeface="Times New Roman" panose="02020603050405020304" pitchFamily="18" charset="0"/>
              <a:cs typeface="Times New Roman" panose="02020603050405020304" pitchFamily="18" charset="0"/>
            </a:rPr>
            <a:t>TB</a:t>
          </a:r>
          <a:r>
            <a:rPr lang="en-US" sz="1400" b="1" baseline="0">
              <a:solidFill>
                <a:srgbClr val="2278B9"/>
              </a:solidFill>
              <a:latin typeface="Times New Roman" panose="02020603050405020304" pitchFamily="18" charset="0"/>
              <a:cs typeface="Times New Roman" panose="02020603050405020304" pitchFamily="18" charset="0"/>
            </a:rPr>
            <a:t> Giá Giao Dịch</a:t>
          </a:r>
          <a:endParaRPr lang="en-US" sz="1400" b="1">
            <a:solidFill>
              <a:srgbClr val="2278B9"/>
            </a:solidFill>
            <a:latin typeface="Times New Roman" panose="02020603050405020304" pitchFamily="18" charset="0"/>
            <a:cs typeface="Times New Roman" panose="02020603050405020304" pitchFamily="18" charset="0"/>
          </a:endParaRPr>
        </a:p>
      </xdr:txBody>
    </xdr:sp>
    <xdr:clientData/>
  </xdr:twoCellAnchor>
  <xdr:oneCellAnchor>
    <xdr:from>
      <xdr:col>5</xdr:col>
      <xdr:colOff>561975</xdr:colOff>
      <xdr:row>7</xdr:row>
      <xdr:rowOff>180975</xdr:rowOff>
    </xdr:from>
    <xdr:ext cx="216534" cy="264560"/>
    <xdr:sp macro="" textlink="Dashboard_tab1!$P$4">
      <xdr:nvSpPr>
        <xdr:cNvPr id="33" name="TextBox 32">
          <a:extLst>
            <a:ext uri="{FF2B5EF4-FFF2-40B4-BE49-F238E27FC236}">
              <a16:creationId xmlns:a16="http://schemas.microsoft.com/office/drawing/2014/main" id="{8C23E219-89CB-4F54-88F6-5791E6653256}"/>
            </a:ext>
          </a:extLst>
        </xdr:cNvPr>
        <xdr:cNvSpPr txBox="1"/>
      </xdr:nvSpPr>
      <xdr:spPr>
        <a:xfrm>
          <a:off x="3609975" y="1514475"/>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849F085-0ADD-44D4-BEF2-9CD808F7019C}" type="TxLink">
            <a:rPr lang="en-US" sz="1100" b="0" i="0" u="none" strike="noStrike">
              <a:solidFill>
                <a:srgbClr val="000000"/>
              </a:solidFill>
              <a:latin typeface="Calibri"/>
              <a:ea typeface="Calibri"/>
              <a:cs typeface="Calibri"/>
            </a:rPr>
            <a:pPr/>
            <a:t> </a:t>
          </a:fld>
          <a:endParaRPr lang="en-US" sz="1100"/>
        </a:p>
      </xdr:txBody>
    </xdr:sp>
    <xdr:clientData/>
  </xdr:oneCellAnchor>
  <xdr:oneCellAnchor>
    <xdr:from>
      <xdr:col>5</xdr:col>
      <xdr:colOff>342900</xdr:colOff>
      <xdr:row>6</xdr:row>
      <xdr:rowOff>152400</xdr:rowOff>
    </xdr:from>
    <xdr:ext cx="954107" cy="387222"/>
    <xdr:sp macro="" textlink="Data_analysis!R4">
      <xdr:nvSpPr>
        <xdr:cNvPr id="34" name="TextBox 33">
          <a:extLst>
            <a:ext uri="{FF2B5EF4-FFF2-40B4-BE49-F238E27FC236}">
              <a16:creationId xmlns:a16="http://schemas.microsoft.com/office/drawing/2014/main" id="{734AEF71-A1E7-421F-BBF7-7A1BE7B6505A}"/>
            </a:ext>
          </a:extLst>
        </xdr:cNvPr>
        <xdr:cNvSpPr txBox="1"/>
      </xdr:nvSpPr>
      <xdr:spPr>
        <a:xfrm>
          <a:off x="3390900" y="1295400"/>
          <a:ext cx="95410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41D5061-F389-41F3-A158-DEA6E6891CED}" type="TxLink">
            <a:rPr lang="en-US" sz="2000" b="1" i="0" u="none" strike="noStrike">
              <a:solidFill>
                <a:srgbClr val="2278B9"/>
              </a:solidFill>
              <a:latin typeface="Times New Roman" panose="02020603050405020304" pitchFamily="18" charset="0"/>
              <a:ea typeface="Calibri"/>
              <a:cs typeface="Times New Roman" panose="02020603050405020304" pitchFamily="18" charset="0"/>
            </a:rPr>
            <a:pPr/>
            <a:t>212815</a:t>
          </a:fld>
          <a:endParaRPr lang="en-US" sz="2000" b="1">
            <a:solidFill>
              <a:srgbClr val="2278B9"/>
            </a:solidFill>
            <a:latin typeface="Times New Roman" panose="02020603050405020304" pitchFamily="18" charset="0"/>
            <a:cs typeface="Times New Roman" panose="02020603050405020304" pitchFamily="18" charset="0"/>
          </a:endParaRPr>
        </a:p>
      </xdr:txBody>
    </xdr:sp>
    <xdr:clientData/>
  </xdr:oneCellAnchor>
  <xdr:oneCellAnchor>
    <xdr:from>
      <xdr:col>8</xdr:col>
      <xdr:colOff>200025</xdr:colOff>
      <xdr:row>5</xdr:row>
      <xdr:rowOff>9525</xdr:rowOff>
    </xdr:from>
    <xdr:ext cx="1473417" cy="298800"/>
    <xdr:sp macro="" textlink="">
      <xdr:nvSpPr>
        <xdr:cNvPr id="35" name="TextBox 34">
          <a:extLst>
            <a:ext uri="{FF2B5EF4-FFF2-40B4-BE49-F238E27FC236}">
              <a16:creationId xmlns:a16="http://schemas.microsoft.com/office/drawing/2014/main" id="{D98CF309-F68D-4CF4-9FF3-25F94E0A7A94}"/>
            </a:ext>
          </a:extLst>
        </xdr:cNvPr>
        <xdr:cNvSpPr txBox="1"/>
      </xdr:nvSpPr>
      <xdr:spPr>
        <a:xfrm>
          <a:off x="5076825" y="962025"/>
          <a:ext cx="147341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278B9"/>
              </a:solidFill>
              <a:latin typeface="Times New Roman" panose="02020603050405020304" pitchFamily="18" charset="0"/>
              <a:ea typeface="+mn-ea"/>
              <a:cs typeface="Times New Roman" panose="02020603050405020304" pitchFamily="18" charset="0"/>
            </a:rPr>
            <a:t>Tổng</a:t>
          </a:r>
          <a:r>
            <a:rPr lang="en-US" sz="1100" baseline="0"/>
            <a:t> </a:t>
          </a:r>
          <a:r>
            <a:rPr lang="en-US" sz="1400" b="1">
              <a:solidFill>
                <a:srgbClr val="2278B9"/>
              </a:solidFill>
              <a:latin typeface="Times New Roman" panose="02020603050405020304" pitchFamily="18" charset="0"/>
              <a:ea typeface="+mn-ea"/>
              <a:cs typeface="Times New Roman" panose="02020603050405020304" pitchFamily="18" charset="0"/>
            </a:rPr>
            <a:t>Lượng</a:t>
          </a:r>
          <a:r>
            <a:rPr lang="en-US" sz="1100" baseline="0"/>
            <a:t> </a:t>
          </a:r>
          <a:r>
            <a:rPr lang="en-US" sz="1400" b="1">
              <a:solidFill>
                <a:srgbClr val="2278B9"/>
              </a:solidFill>
              <a:latin typeface="Times New Roman" panose="02020603050405020304" pitchFamily="18" charset="0"/>
              <a:ea typeface="+mn-ea"/>
              <a:cs typeface="Times New Roman" panose="02020603050405020304" pitchFamily="18" charset="0"/>
            </a:rPr>
            <a:t>Bán</a:t>
          </a:r>
        </a:p>
      </xdr:txBody>
    </xdr:sp>
    <xdr:clientData/>
  </xdr:oneCellAnchor>
  <xdr:oneCellAnchor>
    <xdr:from>
      <xdr:col>9</xdr:col>
      <xdr:colOff>9525</xdr:colOff>
      <xdr:row>6</xdr:row>
      <xdr:rowOff>142875</xdr:rowOff>
    </xdr:from>
    <xdr:ext cx="569387" cy="387222"/>
    <xdr:sp macro="" textlink="Data_analysis!R5">
      <xdr:nvSpPr>
        <xdr:cNvPr id="36" name="TextBox 35">
          <a:extLst>
            <a:ext uri="{FF2B5EF4-FFF2-40B4-BE49-F238E27FC236}">
              <a16:creationId xmlns:a16="http://schemas.microsoft.com/office/drawing/2014/main" id="{021BF1CA-D118-41ED-AF6E-0E388B683700}"/>
            </a:ext>
          </a:extLst>
        </xdr:cNvPr>
        <xdr:cNvSpPr txBox="1"/>
      </xdr:nvSpPr>
      <xdr:spPr>
        <a:xfrm>
          <a:off x="5495925" y="1285875"/>
          <a:ext cx="56938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E344F53-A506-4601-ABCD-B8D4FCB8BE8F}" type="TxLink">
            <a:rPr lang="en-US" sz="2000" b="1" i="0" u="none" strike="noStrike">
              <a:solidFill>
                <a:srgbClr val="2278B9"/>
              </a:solidFill>
              <a:latin typeface="Times New Roman" panose="02020603050405020304" pitchFamily="18" charset="0"/>
              <a:ea typeface="Calibri"/>
              <a:cs typeface="Times New Roman" panose="02020603050405020304" pitchFamily="18" charset="0"/>
            </a:rPr>
            <a:pPr marL="0" indent="0"/>
            <a:t>629</a:t>
          </a:fld>
          <a:endParaRPr lang="en-US" sz="2000" b="1" i="0" u="none" strike="noStrike">
            <a:solidFill>
              <a:srgbClr val="2278B9"/>
            </a:solidFill>
            <a:latin typeface="Times New Roman" panose="02020603050405020304" pitchFamily="18" charset="0"/>
            <a:ea typeface="Calibri"/>
            <a:cs typeface="Times New Roman" panose="02020603050405020304" pitchFamily="18" charset="0"/>
          </a:endParaRPr>
        </a:p>
      </xdr:txBody>
    </xdr:sp>
    <xdr:clientData/>
  </xdr:oneCellAnchor>
  <xdr:oneCellAnchor>
    <xdr:from>
      <xdr:col>11</xdr:col>
      <xdr:colOff>523875</xdr:colOff>
      <xdr:row>6</xdr:row>
      <xdr:rowOff>142875</xdr:rowOff>
    </xdr:from>
    <xdr:ext cx="889987" cy="387222"/>
    <xdr:sp macro="" textlink="Data_analysis!R6">
      <xdr:nvSpPr>
        <xdr:cNvPr id="37" name="TextBox 36">
          <a:extLst>
            <a:ext uri="{FF2B5EF4-FFF2-40B4-BE49-F238E27FC236}">
              <a16:creationId xmlns:a16="http://schemas.microsoft.com/office/drawing/2014/main" id="{526BE89F-55AA-4F17-A4DA-F14EB89FD0E5}"/>
            </a:ext>
          </a:extLst>
        </xdr:cNvPr>
        <xdr:cNvSpPr txBox="1"/>
      </xdr:nvSpPr>
      <xdr:spPr>
        <a:xfrm>
          <a:off x="7229475" y="1285875"/>
          <a:ext cx="88998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F3DE6E59-21C0-4DDF-92A9-6EDD60D4D3E7}" type="TxLink">
            <a:rPr lang="en-US" sz="2000" b="1" i="0" u="none" strike="noStrike">
              <a:solidFill>
                <a:srgbClr val="2278B9"/>
              </a:solidFill>
              <a:latin typeface="Times New Roman" panose="02020603050405020304" pitchFamily="18" charset="0"/>
              <a:ea typeface="Calibri"/>
              <a:cs typeface="Times New Roman" panose="02020603050405020304" pitchFamily="18" charset="0"/>
            </a:rPr>
            <a:pPr marL="0" indent="0"/>
            <a:t>338.34</a:t>
          </a:fld>
          <a:endParaRPr lang="en-US" sz="2000" b="1" i="0" u="none" strike="noStrike">
            <a:solidFill>
              <a:srgbClr val="2278B9"/>
            </a:solidFill>
            <a:latin typeface="Times New Roman" panose="02020603050405020304" pitchFamily="18" charset="0"/>
            <a:ea typeface="Calibri"/>
            <a:cs typeface="Times New Roman" panose="02020603050405020304" pitchFamily="18" charset="0"/>
          </a:endParaRPr>
        </a:p>
      </xdr:txBody>
    </xdr:sp>
    <xdr:clientData/>
  </xdr:oneCellAnchor>
  <xdr:oneCellAnchor>
    <xdr:from>
      <xdr:col>5</xdr:col>
      <xdr:colOff>476250</xdr:colOff>
      <xdr:row>8</xdr:row>
      <xdr:rowOff>123825</xdr:rowOff>
    </xdr:from>
    <xdr:ext cx="663323" cy="298800"/>
    <xdr:sp macro="" textlink="">
      <xdr:nvSpPr>
        <xdr:cNvPr id="38" name="TextBox 37">
          <a:extLst>
            <a:ext uri="{FF2B5EF4-FFF2-40B4-BE49-F238E27FC236}">
              <a16:creationId xmlns:a16="http://schemas.microsoft.com/office/drawing/2014/main" id="{4C812CF3-E01D-4C36-89D1-727F2FFE1CBA}"/>
            </a:ext>
          </a:extLst>
        </xdr:cNvPr>
        <xdr:cNvSpPr txBox="1"/>
      </xdr:nvSpPr>
      <xdr:spPr>
        <a:xfrm>
          <a:off x="3524250" y="1647825"/>
          <a:ext cx="66332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278B9"/>
              </a:solidFill>
              <a:latin typeface="Times New Roman" panose="02020603050405020304" pitchFamily="18" charset="0"/>
              <a:ea typeface="+mn-ea"/>
              <a:cs typeface="Times New Roman" panose="02020603050405020304" pitchFamily="18" charset="0"/>
            </a:rPr>
            <a:t>(USD)</a:t>
          </a:r>
        </a:p>
      </xdr:txBody>
    </xdr:sp>
    <xdr:clientData/>
  </xdr:oneCellAnchor>
  <xdr:oneCellAnchor>
    <xdr:from>
      <xdr:col>12</xdr:col>
      <xdr:colOff>19050</xdr:colOff>
      <xdr:row>8</xdr:row>
      <xdr:rowOff>123825</xdr:rowOff>
    </xdr:from>
    <xdr:ext cx="663323" cy="311496"/>
    <xdr:sp macro="" textlink="">
      <xdr:nvSpPr>
        <xdr:cNvPr id="39" name="TextBox 38">
          <a:extLst>
            <a:ext uri="{FF2B5EF4-FFF2-40B4-BE49-F238E27FC236}">
              <a16:creationId xmlns:a16="http://schemas.microsoft.com/office/drawing/2014/main" id="{3F497200-389F-4C80-A576-3765527D27FB}"/>
            </a:ext>
          </a:extLst>
        </xdr:cNvPr>
        <xdr:cNvSpPr txBox="1"/>
      </xdr:nvSpPr>
      <xdr:spPr>
        <a:xfrm>
          <a:off x="7334250" y="1647825"/>
          <a:ext cx="66332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400" b="1">
              <a:solidFill>
                <a:srgbClr val="2278B9"/>
              </a:solidFill>
              <a:latin typeface="Times New Roman" panose="02020603050405020304" pitchFamily="18" charset="0"/>
              <a:ea typeface="+mn-ea"/>
              <a:cs typeface="Times New Roman" panose="02020603050405020304" pitchFamily="18" charset="0"/>
            </a:rPr>
            <a:t>(USD)</a:t>
          </a:r>
          <a:endParaRPr lang="en-US" sz="1100">
            <a:solidFill>
              <a:schemeClr val="tx1"/>
            </a:solidFill>
            <a:latin typeface="+mn-lt"/>
            <a:ea typeface="+mn-ea"/>
            <a:cs typeface="+mn-cs"/>
          </a:endParaRPr>
        </a:p>
      </xdr:txBody>
    </xdr:sp>
    <xdr:clientData/>
  </xdr:oneCellAnchor>
  <xdr:oneCellAnchor>
    <xdr:from>
      <xdr:col>9</xdr:col>
      <xdr:colOff>47625</xdr:colOff>
      <xdr:row>8</xdr:row>
      <xdr:rowOff>142875</xdr:rowOff>
    </xdr:from>
    <xdr:ext cx="513667" cy="298800"/>
    <xdr:sp macro="" textlink="">
      <xdr:nvSpPr>
        <xdr:cNvPr id="40" name="TextBox 39">
          <a:extLst>
            <a:ext uri="{FF2B5EF4-FFF2-40B4-BE49-F238E27FC236}">
              <a16:creationId xmlns:a16="http://schemas.microsoft.com/office/drawing/2014/main" id="{464133CB-1A64-4472-868A-5E371621E844}"/>
            </a:ext>
          </a:extLst>
        </xdr:cNvPr>
        <xdr:cNvSpPr txBox="1"/>
      </xdr:nvSpPr>
      <xdr:spPr>
        <a:xfrm>
          <a:off x="5534025" y="1666875"/>
          <a:ext cx="51366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278B9"/>
              </a:solidFill>
              <a:latin typeface="Times New Roman" panose="02020603050405020304" pitchFamily="18" charset="0"/>
              <a:ea typeface="+mn-ea"/>
              <a:cs typeface="Times New Roman" panose="02020603050405020304" pitchFamily="18" charset="0"/>
            </a:rPr>
            <a:t>(SP)</a:t>
          </a:r>
        </a:p>
      </xdr:txBody>
    </xdr:sp>
    <xdr:clientData/>
  </xdr:oneCellAnchor>
  <xdr:twoCellAnchor>
    <xdr:from>
      <xdr:col>5</xdr:col>
      <xdr:colOff>28574</xdr:colOff>
      <xdr:row>11</xdr:row>
      <xdr:rowOff>9525</xdr:rowOff>
    </xdr:from>
    <xdr:to>
      <xdr:col>11</xdr:col>
      <xdr:colOff>171450</xdr:colOff>
      <xdr:row>22</xdr:row>
      <xdr:rowOff>85725</xdr:rowOff>
    </xdr:to>
    <xdr:graphicFrame macro="">
      <xdr:nvGraphicFramePr>
        <xdr:cNvPr id="42" name="Chart 41">
          <a:extLst>
            <a:ext uri="{FF2B5EF4-FFF2-40B4-BE49-F238E27FC236}">
              <a16:creationId xmlns:a16="http://schemas.microsoft.com/office/drawing/2014/main" id="{AECC1E71-575F-4AB1-A94D-A6BFB3BB1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28574</xdr:colOff>
      <xdr:row>23</xdr:row>
      <xdr:rowOff>0</xdr:rowOff>
    </xdr:from>
    <xdr:to>
      <xdr:col>11</xdr:col>
      <xdr:colOff>180975</xdr:colOff>
      <xdr:row>35</xdr:row>
      <xdr:rowOff>161925</xdr:rowOff>
    </xdr:to>
    <xdr:graphicFrame macro="">
      <xdr:nvGraphicFramePr>
        <xdr:cNvPr id="43" name="Chart 42">
          <a:extLst>
            <a:ext uri="{FF2B5EF4-FFF2-40B4-BE49-F238E27FC236}">
              <a16:creationId xmlns:a16="http://schemas.microsoft.com/office/drawing/2014/main" id="{7AC4D379-816B-4D27-922A-E15617113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333375</xdr:colOff>
      <xdr:row>11</xdr:row>
      <xdr:rowOff>0</xdr:rowOff>
    </xdr:from>
    <xdr:to>
      <xdr:col>19</xdr:col>
      <xdr:colOff>47625</xdr:colOff>
      <xdr:row>22</xdr:row>
      <xdr:rowOff>76200</xdr:rowOff>
    </xdr:to>
    <xdr:graphicFrame macro="">
      <xdr:nvGraphicFramePr>
        <xdr:cNvPr id="44" name="Chart 43">
          <a:extLst>
            <a:ext uri="{FF2B5EF4-FFF2-40B4-BE49-F238E27FC236}">
              <a16:creationId xmlns:a16="http://schemas.microsoft.com/office/drawing/2014/main" id="{9BC8406D-0946-423D-968F-A28726859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314324</xdr:colOff>
      <xdr:row>23</xdr:row>
      <xdr:rowOff>0</xdr:rowOff>
    </xdr:from>
    <xdr:to>
      <xdr:col>19</xdr:col>
      <xdr:colOff>38099</xdr:colOff>
      <xdr:row>35</xdr:row>
      <xdr:rowOff>171450</xdr:rowOff>
    </xdr:to>
    <xdr:graphicFrame macro="">
      <xdr:nvGraphicFramePr>
        <xdr:cNvPr id="45" name="Chart 44">
          <a:extLst>
            <a:ext uri="{FF2B5EF4-FFF2-40B4-BE49-F238E27FC236}">
              <a16:creationId xmlns:a16="http://schemas.microsoft.com/office/drawing/2014/main" id="{D75AB90F-6503-4A77-8763-5E50F3452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190500</xdr:colOff>
      <xdr:row>11</xdr:row>
      <xdr:rowOff>9525</xdr:rowOff>
    </xdr:from>
    <xdr:to>
      <xdr:col>24</xdr:col>
      <xdr:colOff>38100</xdr:colOff>
      <xdr:row>22</xdr:row>
      <xdr:rowOff>76200</xdr:rowOff>
    </xdr:to>
    <xdr:graphicFrame macro="">
      <xdr:nvGraphicFramePr>
        <xdr:cNvPr id="46" name="Chart 45">
          <a:extLst>
            <a:ext uri="{FF2B5EF4-FFF2-40B4-BE49-F238E27FC236}">
              <a16:creationId xmlns:a16="http://schemas.microsoft.com/office/drawing/2014/main" id="{7FB82E00-CBF0-4F2D-A8E3-AEAE34C8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200024</xdr:colOff>
      <xdr:row>23</xdr:row>
      <xdr:rowOff>19050</xdr:rowOff>
    </xdr:from>
    <xdr:to>
      <xdr:col>24</xdr:col>
      <xdr:colOff>47625</xdr:colOff>
      <xdr:row>36</xdr:row>
      <xdr:rowOff>0</xdr:rowOff>
    </xdr:to>
    <xdr:graphicFrame macro="">
      <xdr:nvGraphicFramePr>
        <xdr:cNvPr id="47" name="Chart 46">
          <a:extLst>
            <a:ext uri="{FF2B5EF4-FFF2-40B4-BE49-F238E27FC236}">
              <a16:creationId xmlns:a16="http://schemas.microsoft.com/office/drawing/2014/main" id="{D67ED6DC-FDF5-478B-8CC7-6C7B9DF14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171450</xdr:colOff>
      <xdr:row>11</xdr:row>
      <xdr:rowOff>9525</xdr:rowOff>
    </xdr:from>
    <xdr:to>
      <xdr:col>27</xdr:col>
      <xdr:colOff>409574</xdr:colOff>
      <xdr:row>35</xdr:row>
      <xdr:rowOff>171451</xdr:rowOff>
    </xdr:to>
    <xdr:graphicFrame macro="">
      <xdr:nvGraphicFramePr>
        <xdr:cNvPr id="48" name="Chart 47">
          <a:extLst>
            <a:ext uri="{FF2B5EF4-FFF2-40B4-BE49-F238E27FC236}">
              <a16:creationId xmlns:a16="http://schemas.microsoft.com/office/drawing/2014/main" id="{9AC0ADEC-EDCF-4328-9223-6BFF9445F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38101</xdr:colOff>
      <xdr:row>1</xdr:row>
      <xdr:rowOff>135350</xdr:rowOff>
    </xdr:from>
    <xdr:to>
      <xdr:col>5</xdr:col>
      <xdr:colOff>428625</xdr:colOff>
      <xdr:row>4</xdr:row>
      <xdr:rowOff>45910</xdr:rowOff>
    </xdr:to>
    <xdr:pic>
      <xdr:nvPicPr>
        <xdr:cNvPr id="56" name="Picture 55">
          <a:extLst>
            <a:ext uri="{FF2B5EF4-FFF2-40B4-BE49-F238E27FC236}">
              <a16:creationId xmlns:a16="http://schemas.microsoft.com/office/drawing/2014/main" id="{FADA8E8D-37C7-4BD5-9A15-60A02F72B3E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866901" y="325850"/>
          <a:ext cx="1609724" cy="482060"/>
        </a:xfrm>
        <a:prstGeom prst="rect">
          <a:avLst/>
        </a:prstGeom>
      </xdr:spPr>
    </xdr:pic>
    <xdr:clientData/>
  </xdr:twoCellAnchor>
  <xdr:twoCellAnchor editAs="oneCell">
    <xdr:from>
      <xdr:col>25</xdr:col>
      <xdr:colOff>390526</xdr:colOff>
      <xdr:row>2</xdr:row>
      <xdr:rowOff>38100</xdr:rowOff>
    </xdr:from>
    <xdr:to>
      <xdr:col>27</xdr:col>
      <xdr:colOff>537216</xdr:colOff>
      <xdr:row>9</xdr:row>
      <xdr:rowOff>70490</xdr:rowOff>
    </xdr:to>
    <xdr:pic>
      <xdr:nvPicPr>
        <xdr:cNvPr id="58" name="Picture 57">
          <a:extLst>
            <a:ext uri="{FF2B5EF4-FFF2-40B4-BE49-F238E27FC236}">
              <a16:creationId xmlns:a16="http://schemas.microsoft.com/office/drawing/2014/main" id="{7B2C6688-8DE0-4269-82AC-9B5AF50D9A3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630526" y="419100"/>
          <a:ext cx="1365890" cy="1365890"/>
        </a:xfrm>
        <a:prstGeom prst="rect">
          <a:avLst/>
        </a:prstGeom>
      </xdr:spPr>
    </xdr:pic>
    <xdr:clientData/>
  </xdr:twoCellAnchor>
  <xdr:twoCellAnchor>
    <xdr:from>
      <xdr:col>3</xdr:col>
      <xdr:colOff>114301</xdr:colOff>
      <xdr:row>5</xdr:row>
      <xdr:rowOff>22575</xdr:rowOff>
    </xdr:from>
    <xdr:to>
      <xdr:col>4</xdr:col>
      <xdr:colOff>371476</xdr:colOff>
      <xdr:row>7</xdr:row>
      <xdr:rowOff>146400</xdr:rowOff>
    </xdr:to>
    <xdr:sp macro="" textlink="">
      <xdr:nvSpPr>
        <xdr:cNvPr id="5" name="Rectangle: Rounded Corners 4">
          <a:hlinkClick xmlns:r="http://schemas.openxmlformats.org/officeDocument/2006/relationships" r:id="rId10"/>
          <a:extLst>
            <a:ext uri="{FF2B5EF4-FFF2-40B4-BE49-F238E27FC236}">
              <a16:creationId xmlns:a16="http://schemas.microsoft.com/office/drawing/2014/main" id="{409B554B-C9B9-4735-A64F-BA15436464BC}"/>
            </a:ext>
          </a:extLst>
        </xdr:cNvPr>
        <xdr:cNvSpPr/>
      </xdr:nvSpPr>
      <xdr:spPr>
        <a:xfrm>
          <a:off x="1943101" y="975075"/>
          <a:ext cx="866775" cy="504825"/>
        </a:xfrm>
        <a:prstGeom prst="roundRect">
          <a:avLst/>
        </a:prstGeom>
        <a:solidFill>
          <a:srgbClr val="2278B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Tổng</a:t>
          </a:r>
          <a:r>
            <a:rPr lang="en-US" sz="1100" b="1" baseline="0">
              <a:latin typeface="Times New Roman" panose="02020603050405020304" pitchFamily="18" charset="0"/>
              <a:cs typeface="Times New Roman" panose="02020603050405020304" pitchFamily="18" charset="0"/>
            </a:rPr>
            <a:t> quát</a:t>
          </a:r>
          <a:endParaRPr lang="en-US" sz="1100" b="1">
            <a:latin typeface="Times New Roman" panose="02020603050405020304" pitchFamily="18" charset="0"/>
            <a:cs typeface="Times New Roman" panose="02020603050405020304" pitchFamily="18" charset="0"/>
          </a:endParaRPr>
        </a:p>
      </xdr:txBody>
    </xdr:sp>
    <xdr:clientData/>
  </xdr:twoCellAnchor>
  <xdr:twoCellAnchor editAs="oneCell">
    <xdr:from>
      <xdr:col>14</xdr:col>
      <xdr:colOff>133350</xdr:colOff>
      <xdr:row>4</xdr:row>
      <xdr:rowOff>161925</xdr:rowOff>
    </xdr:from>
    <xdr:to>
      <xdr:col>16</xdr:col>
      <xdr:colOff>571500</xdr:colOff>
      <xdr:row>10</xdr:row>
      <xdr:rowOff>104775</xdr:rowOff>
    </xdr:to>
    <mc:AlternateContent xmlns:mc="http://schemas.openxmlformats.org/markup-compatibility/2006" xmlns:a14="http://schemas.microsoft.com/office/drawing/2010/main">
      <mc:Choice Requires="a14">
        <xdr:graphicFrame macro="">
          <xdr:nvGraphicFramePr>
            <xdr:cNvPr id="50" name="Category">
              <a:extLst>
                <a:ext uri="{FF2B5EF4-FFF2-40B4-BE49-F238E27FC236}">
                  <a16:creationId xmlns:a16="http://schemas.microsoft.com/office/drawing/2014/main" id="{68352CE3-0E5D-48E6-8282-17966E29EDE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67750" y="923925"/>
              <a:ext cx="165735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65975</xdr:colOff>
      <xdr:row>4</xdr:row>
      <xdr:rowOff>171450</xdr:rowOff>
    </xdr:from>
    <xdr:to>
      <xdr:col>19</xdr:col>
      <xdr:colOff>401255</xdr:colOff>
      <xdr:row>10</xdr:row>
      <xdr:rowOff>114300</xdr:rowOff>
    </xdr:to>
    <mc:AlternateContent xmlns:mc="http://schemas.openxmlformats.org/markup-compatibility/2006" xmlns:a14="http://schemas.microsoft.com/office/drawing/2010/main">
      <mc:Choice Requires="a14">
        <xdr:graphicFrame macro="">
          <xdr:nvGraphicFramePr>
            <xdr:cNvPr id="51" name="Product">
              <a:extLst>
                <a:ext uri="{FF2B5EF4-FFF2-40B4-BE49-F238E27FC236}">
                  <a16:creationId xmlns:a16="http://schemas.microsoft.com/office/drawing/2014/main" id="{B0AEDD8D-2659-4ED7-9ECF-D7122E577AD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429175" y="933450"/>
              <a:ext cx="155448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533398</xdr:colOff>
      <xdr:row>4</xdr:row>
      <xdr:rowOff>171450</xdr:rowOff>
    </xdr:from>
    <xdr:to>
      <xdr:col>22</xdr:col>
      <xdr:colOff>409574</xdr:colOff>
      <xdr:row>10</xdr:row>
      <xdr:rowOff>114300</xdr:rowOff>
    </xdr:to>
    <mc:AlternateContent xmlns:mc="http://schemas.openxmlformats.org/markup-compatibility/2006" xmlns:a14="http://schemas.microsoft.com/office/drawing/2010/main">
      <mc:Choice Requires="a14">
        <xdr:graphicFrame macro="">
          <xdr:nvGraphicFramePr>
            <xdr:cNvPr id="52" name="Customer Location">
              <a:extLst>
                <a:ext uri="{FF2B5EF4-FFF2-40B4-BE49-F238E27FC236}">
                  <a16:creationId xmlns:a16="http://schemas.microsoft.com/office/drawing/2014/main" id="{49699629-A69D-4061-BB48-B0E91B1D55FF}"/>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12115798" y="933450"/>
              <a:ext cx="1704976"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76202</xdr:colOff>
      <xdr:row>20</xdr:row>
      <xdr:rowOff>1</xdr:rowOff>
    </xdr:from>
    <xdr:to>
      <xdr:col>4</xdr:col>
      <xdr:colOff>419100</xdr:colOff>
      <xdr:row>35</xdr:row>
      <xdr:rowOff>1</xdr:rowOff>
    </xdr:to>
    <mc:AlternateContent xmlns:mc="http://schemas.openxmlformats.org/markup-compatibility/2006" xmlns:a14="http://schemas.microsoft.com/office/drawing/2010/main">
      <mc:Choice Requires="a14">
        <xdr:graphicFrame macro="">
          <xdr:nvGraphicFramePr>
            <xdr:cNvPr id="53" name="Month">
              <a:extLst>
                <a:ext uri="{FF2B5EF4-FFF2-40B4-BE49-F238E27FC236}">
                  <a16:creationId xmlns:a16="http://schemas.microsoft.com/office/drawing/2014/main" id="{A6C56F9F-D4B6-45E9-81A7-B48325FBF77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05002" y="3810001"/>
              <a:ext cx="952498" cy="285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76202</xdr:colOff>
      <xdr:row>13</xdr:row>
      <xdr:rowOff>0</xdr:rowOff>
    </xdr:from>
    <xdr:to>
      <xdr:col>4</xdr:col>
      <xdr:colOff>419100</xdr:colOff>
      <xdr:row>18</xdr:row>
      <xdr:rowOff>55010</xdr:rowOff>
    </xdr:to>
    <mc:AlternateContent xmlns:mc="http://schemas.openxmlformats.org/markup-compatibility/2006" xmlns:a14="http://schemas.microsoft.com/office/drawing/2010/main">
      <mc:Choice Requires="a14">
        <xdr:graphicFrame macro="">
          <xdr:nvGraphicFramePr>
            <xdr:cNvPr id="54" name="Status">
              <a:extLst>
                <a:ext uri="{FF2B5EF4-FFF2-40B4-BE49-F238E27FC236}">
                  <a16:creationId xmlns:a16="http://schemas.microsoft.com/office/drawing/2014/main" id="{F3044BE4-DF47-48A1-9472-28EDAFE5D61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905002" y="2476500"/>
              <a:ext cx="952498" cy="1007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476250</xdr:colOff>
      <xdr:row>4</xdr:row>
      <xdr:rowOff>168145</xdr:rowOff>
    </xdr:from>
    <xdr:to>
      <xdr:col>25</xdr:col>
      <xdr:colOff>476250</xdr:colOff>
      <xdr:row>10</xdr:row>
      <xdr:rowOff>104774</xdr:rowOff>
    </xdr:to>
    <mc:AlternateContent xmlns:mc="http://schemas.openxmlformats.org/markup-compatibility/2006" xmlns:a14="http://schemas.microsoft.com/office/drawing/2010/main">
      <mc:Choice Requires="a14">
        <xdr:graphicFrame macro="">
          <xdr:nvGraphicFramePr>
            <xdr:cNvPr id="55" name="Payment Method">
              <a:extLst>
                <a:ext uri="{FF2B5EF4-FFF2-40B4-BE49-F238E27FC236}">
                  <a16:creationId xmlns:a16="http://schemas.microsoft.com/office/drawing/2014/main" id="{C58BCE18-7A26-492D-B99A-5D10B2E1715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3887450" y="930145"/>
              <a:ext cx="1828800" cy="1079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114301</xdr:colOff>
      <xdr:row>8</xdr:row>
      <xdr:rowOff>3815</xdr:rowOff>
    </xdr:from>
    <xdr:to>
      <xdr:col>4</xdr:col>
      <xdr:colOff>371476</xdr:colOff>
      <xdr:row>10</xdr:row>
      <xdr:rowOff>137164</xdr:rowOff>
    </xdr:to>
    <xdr:sp macro="" textlink="">
      <xdr:nvSpPr>
        <xdr:cNvPr id="57" name="Rectangle: Rounded Corners 56">
          <a:hlinkClick xmlns:r="http://schemas.openxmlformats.org/officeDocument/2006/relationships" r:id="rId11"/>
          <a:extLst>
            <a:ext uri="{FF2B5EF4-FFF2-40B4-BE49-F238E27FC236}">
              <a16:creationId xmlns:a16="http://schemas.microsoft.com/office/drawing/2014/main" id="{6E047D14-AECD-4C43-8BD0-B272C51C036D}"/>
            </a:ext>
          </a:extLst>
        </xdr:cNvPr>
        <xdr:cNvSpPr/>
      </xdr:nvSpPr>
      <xdr:spPr>
        <a:xfrm>
          <a:off x="1943101" y="1527815"/>
          <a:ext cx="866775" cy="514349"/>
        </a:xfrm>
        <a:prstGeom prst="roundRect">
          <a:avLst/>
        </a:prstGeom>
        <a:solidFill>
          <a:srgbClr val="2278B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latin typeface="Times New Roman" panose="02020603050405020304" pitchFamily="18" charset="0"/>
              <a:cs typeface="Times New Roman" panose="02020603050405020304" pitchFamily="18" charset="0"/>
            </a:rPr>
            <a:t>Chi tiết</a:t>
          </a:r>
        </a:p>
      </xdr:txBody>
    </xdr:sp>
    <xdr:clientData/>
  </xdr:twoCellAnchor>
  <xdr:oneCellAnchor>
    <xdr:from>
      <xdr:col>3</xdr:col>
      <xdr:colOff>154008</xdr:colOff>
      <xdr:row>18</xdr:row>
      <xdr:rowOff>99110</xdr:rowOff>
    </xdr:from>
    <xdr:ext cx="683649" cy="298800"/>
    <xdr:sp macro="" textlink="">
      <xdr:nvSpPr>
        <xdr:cNvPr id="6" name="TextBox 5">
          <a:extLst>
            <a:ext uri="{FF2B5EF4-FFF2-40B4-BE49-F238E27FC236}">
              <a16:creationId xmlns:a16="http://schemas.microsoft.com/office/drawing/2014/main" id="{73A0BC28-503B-4F83-90F9-14F77D6C8636}"/>
            </a:ext>
          </a:extLst>
        </xdr:cNvPr>
        <xdr:cNvSpPr txBox="1"/>
      </xdr:nvSpPr>
      <xdr:spPr>
        <a:xfrm>
          <a:off x="1982808" y="3528110"/>
          <a:ext cx="68364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278B9"/>
              </a:solidFill>
              <a:latin typeface="Times New Roman" panose="02020603050405020304" pitchFamily="18" charset="0"/>
              <a:cs typeface="Times New Roman" panose="02020603050405020304" pitchFamily="18" charset="0"/>
            </a:rPr>
            <a:t>Tháng</a:t>
          </a:r>
        </a:p>
      </xdr:txBody>
    </xdr:sp>
    <xdr:clientData/>
  </xdr:oneCellAnchor>
  <xdr:oneCellAnchor>
    <xdr:from>
      <xdr:col>3</xdr:col>
      <xdr:colOff>27709</xdr:colOff>
      <xdr:row>11</xdr:row>
      <xdr:rowOff>120300</xdr:rowOff>
    </xdr:from>
    <xdr:ext cx="1067665" cy="298800"/>
    <xdr:sp macro="" textlink="">
      <xdr:nvSpPr>
        <xdr:cNvPr id="7" name="TextBox 6">
          <a:extLst>
            <a:ext uri="{FF2B5EF4-FFF2-40B4-BE49-F238E27FC236}">
              <a16:creationId xmlns:a16="http://schemas.microsoft.com/office/drawing/2014/main" id="{024DC4CE-9E85-4A53-ACA2-0CFBD96C48A9}"/>
            </a:ext>
          </a:extLst>
        </xdr:cNvPr>
        <xdr:cNvSpPr txBox="1"/>
      </xdr:nvSpPr>
      <xdr:spPr>
        <a:xfrm>
          <a:off x="1856509" y="2215800"/>
          <a:ext cx="106766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278B9"/>
              </a:solidFill>
              <a:latin typeface="Times New Roman" panose="02020603050405020304" pitchFamily="18" charset="0"/>
              <a:cs typeface="Times New Roman" panose="02020603050405020304" pitchFamily="18" charset="0"/>
            </a:rPr>
            <a:t>Trạng</a:t>
          </a:r>
          <a:r>
            <a:rPr lang="en-US" sz="1400" b="1" baseline="0">
              <a:solidFill>
                <a:srgbClr val="2278B9"/>
              </a:solidFill>
              <a:latin typeface="Times New Roman" panose="02020603050405020304" pitchFamily="18" charset="0"/>
              <a:cs typeface="Times New Roman" panose="02020603050405020304" pitchFamily="18" charset="0"/>
            </a:rPr>
            <a:t> Thái</a:t>
          </a:r>
          <a:endParaRPr lang="en-US" sz="1400" b="1">
            <a:solidFill>
              <a:srgbClr val="2278B9"/>
            </a:solidFill>
            <a:latin typeface="Times New Roman" panose="02020603050405020304" pitchFamily="18" charset="0"/>
            <a:cs typeface="Times New Roman" panose="02020603050405020304" pitchFamily="18" charset="0"/>
          </a:endParaRPr>
        </a:p>
      </xdr:txBody>
    </xdr:sp>
    <xdr:clientData/>
  </xdr:oneCellAnchor>
  <xdr:oneCellAnchor>
    <xdr:from>
      <xdr:col>4</xdr:col>
      <xdr:colOff>0</xdr:colOff>
      <xdr:row>22</xdr:row>
      <xdr:rowOff>76200</xdr:rowOff>
    </xdr:from>
    <xdr:ext cx="184731" cy="264560"/>
    <xdr:sp macro="" textlink="">
      <xdr:nvSpPr>
        <xdr:cNvPr id="8" name="TextBox 7">
          <a:extLst>
            <a:ext uri="{FF2B5EF4-FFF2-40B4-BE49-F238E27FC236}">
              <a16:creationId xmlns:a16="http://schemas.microsoft.com/office/drawing/2014/main" id="{8779608C-1F32-457F-A1E7-C81111F8E638}"/>
            </a:ext>
          </a:extLst>
        </xdr:cNvPr>
        <xdr:cNvSpPr txBox="1"/>
      </xdr:nvSpPr>
      <xdr:spPr>
        <a:xfrm>
          <a:off x="2438400" y="4267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3</xdr:col>
      <xdr:colOff>0</xdr:colOff>
      <xdr:row>12</xdr:row>
      <xdr:rowOff>47625</xdr:rowOff>
    </xdr:from>
    <xdr:to>
      <xdr:col>27</xdr:col>
      <xdr:colOff>485775</xdr:colOff>
      <xdr:row>48</xdr:row>
      <xdr:rowOff>28575</xdr:rowOff>
    </xdr:to>
    <xdr:sp macro="" textlink="">
      <xdr:nvSpPr>
        <xdr:cNvPr id="115" name="Rectangle 114">
          <a:extLst>
            <a:ext uri="{FF2B5EF4-FFF2-40B4-BE49-F238E27FC236}">
              <a16:creationId xmlns:a16="http://schemas.microsoft.com/office/drawing/2014/main" id="{8A40E763-CEA2-4E0E-ABE3-45B18C32013F}"/>
            </a:ext>
          </a:extLst>
        </xdr:cNvPr>
        <xdr:cNvSpPr>
          <a:spLocks/>
        </xdr:cNvSpPr>
      </xdr:nvSpPr>
      <xdr:spPr>
        <a:xfrm>
          <a:off x="1219200" y="2333625"/>
          <a:ext cx="15116175" cy="6838950"/>
        </a:xfrm>
        <a:prstGeom prst="rect">
          <a:avLst/>
        </a:prstGeom>
        <a:solidFill>
          <a:srgbClr val="2278B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endParaRPr lang="en-US" sz="1100"/>
        </a:p>
      </xdr:txBody>
    </xdr:sp>
    <xdr:clientData/>
  </xdr:twoCellAnchor>
  <xdr:oneCellAnchor>
    <xdr:from>
      <xdr:col>19</xdr:col>
      <xdr:colOff>57151</xdr:colOff>
      <xdr:row>28</xdr:row>
      <xdr:rowOff>19050</xdr:rowOff>
    </xdr:from>
    <xdr:ext cx="184731" cy="264560"/>
    <xdr:sp macro="" textlink="">
      <xdr:nvSpPr>
        <xdr:cNvPr id="116" name="TextBox 115">
          <a:extLst>
            <a:ext uri="{FF2B5EF4-FFF2-40B4-BE49-F238E27FC236}">
              <a16:creationId xmlns:a16="http://schemas.microsoft.com/office/drawing/2014/main" id="{056232BA-B6AA-4AE0-995F-12717D7FB459}"/>
            </a:ext>
          </a:extLst>
        </xdr:cNvPr>
        <xdr:cNvSpPr txBox="1"/>
      </xdr:nvSpPr>
      <xdr:spPr>
        <a:xfrm>
          <a:off x="11029951" y="5353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17</xdr:col>
      <xdr:colOff>495301</xdr:colOff>
      <xdr:row>25</xdr:row>
      <xdr:rowOff>133350</xdr:rowOff>
    </xdr:from>
    <xdr:ext cx="184731" cy="264560"/>
    <xdr:sp macro="" textlink="">
      <xdr:nvSpPr>
        <xdr:cNvPr id="117" name="TextBox 116">
          <a:extLst>
            <a:ext uri="{FF2B5EF4-FFF2-40B4-BE49-F238E27FC236}">
              <a16:creationId xmlns:a16="http://schemas.microsoft.com/office/drawing/2014/main" id="{B07D8A42-C1C3-47C5-91EC-9DC1250506D4}"/>
            </a:ext>
          </a:extLst>
        </xdr:cNvPr>
        <xdr:cNvSpPr txBox="1"/>
      </xdr:nvSpPr>
      <xdr:spPr>
        <a:xfrm>
          <a:off x="10248901" y="4895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104776</xdr:colOff>
      <xdr:row>12</xdr:row>
      <xdr:rowOff>142875</xdr:rowOff>
    </xdr:from>
    <xdr:ext cx="6381750" cy="428626"/>
    <xdr:sp macro="" textlink="">
      <xdr:nvSpPr>
        <xdr:cNvPr id="118" name="TextBox 117">
          <a:extLst>
            <a:ext uri="{FF2B5EF4-FFF2-40B4-BE49-F238E27FC236}">
              <a16:creationId xmlns:a16="http://schemas.microsoft.com/office/drawing/2014/main" id="{55B428F2-3124-41B0-B2C0-D51D40006358}"/>
            </a:ext>
          </a:extLst>
        </xdr:cNvPr>
        <xdr:cNvSpPr txBox="1"/>
      </xdr:nvSpPr>
      <xdr:spPr>
        <a:xfrm>
          <a:off x="3152776" y="2428875"/>
          <a:ext cx="6381750" cy="428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solidFill>
                <a:schemeClr val="bg1"/>
              </a:solidFill>
              <a:latin typeface="Times New Roman" panose="02020603050405020304" pitchFamily="18" charset="0"/>
              <a:cs typeface="Times New Roman" panose="02020603050405020304" pitchFamily="18" charset="0"/>
            </a:rPr>
            <a:t>BÁO</a:t>
          </a:r>
          <a:r>
            <a:rPr lang="en-US" sz="1800" b="1" baseline="0">
              <a:solidFill>
                <a:schemeClr val="bg1"/>
              </a:solidFill>
              <a:latin typeface="Times New Roman" panose="02020603050405020304" pitchFamily="18" charset="0"/>
              <a:cs typeface="Times New Roman" panose="02020603050405020304" pitchFamily="18" charset="0"/>
            </a:rPr>
            <a:t> CÁO DOANH SỐ AMAZON HÀNG THÁNG NĂM 2025</a:t>
          </a:r>
          <a:endParaRPr lang="en-US" sz="18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561976</xdr:colOff>
      <xdr:row>13</xdr:row>
      <xdr:rowOff>9525</xdr:rowOff>
    </xdr:from>
    <xdr:ext cx="847027" cy="254493"/>
    <xdr:sp macro="" textlink="">
      <xdr:nvSpPr>
        <xdr:cNvPr id="119" name="TextBox 118">
          <a:extLst>
            <a:ext uri="{FF2B5EF4-FFF2-40B4-BE49-F238E27FC236}">
              <a16:creationId xmlns:a16="http://schemas.microsoft.com/office/drawing/2014/main" id="{A7457A16-D6AE-43B8-9F65-7C2F7473A664}"/>
            </a:ext>
          </a:extLst>
        </xdr:cNvPr>
        <xdr:cNvSpPr txBox="1"/>
      </xdr:nvSpPr>
      <xdr:spPr>
        <a:xfrm>
          <a:off x="9705976" y="2486025"/>
          <a:ext cx="84702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latin typeface="Times New Roman" panose="02020603050405020304" pitchFamily="18" charset="0"/>
              <a:ea typeface="+mn-ea"/>
              <a:cs typeface="Times New Roman" panose="02020603050405020304" pitchFamily="18" charset="0"/>
            </a:rPr>
            <a:t>ĐVT: USD</a:t>
          </a:r>
        </a:p>
      </xdr:txBody>
    </xdr:sp>
    <xdr:clientData/>
  </xdr:oneCellAnchor>
  <xdr:twoCellAnchor>
    <xdr:from>
      <xdr:col>3</xdr:col>
      <xdr:colOff>66677</xdr:colOff>
      <xdr:row>15</xdr:row>
      <xdr:rowOff>180975</xdr:rowOff>
    </xdr:from>
    <xdr:to>
      <xdr:col>4</xdr:col>
      <xdr:colOff>409576</xdr:colOff>
      <xdr:row>46</xdr:row>
      <xdr:rowOff>180975</xdr:rowOff>
    </xdr:to>
    <xdr:sp macro="" textlink="">
      <xdr:nvSpPr>
        <xdr:cNvPr id="120" name="Rectangle: Rounded Corners 119">
          <a:extLst>
            <a:ext uri="{FF2B5EF4-FFF2-40B4-BE49-F238E27FC236}">
              <a16:creationId xmlns:a16="http://schemas.microsoft.com/office/drawing/2014/main" id="{1CB22FC7-0B28-4373-A87C-C3F2670AEF1A}"/>
            </a:ext>
          </a:extLst>
        </xdr:cNvPr>
        <xdr:cNvSpPr/>
      </xdr:nvSpPr>
      <xdr:spPr>
        <a:xfrm>
          <a:off x="1285877" y="3038475"/>
          <a:ext cx="952499" cy="59055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endParaRPr lang="en-US" sz="1100"/>
        </a:p>
      </xdr:txBody>
    </xdr:sp>
    <xdr:clientData/>
  </xdr:twoCellAnchor>
  <xdr:twoCellAnchor editAs="absolute">
    <xdr:from>
      <xdr:col>18</xdr:col>
      <xdr:colOff>161926</xdr:colOff>
      <xdr:row>13</xdr:row>
      <xdr:rowOff>47624</xdr:rowOff>
    </xdr:from>
    <xdr:to>
      <xdr:col>21</xdr:col>
      <xdr:colOff>161926</xdr:colOff>
      <xdr:row>15</xdr:row>
      <xdr:rowOff>85725</xdr:rowOff>
    </xdr:to>
    <mc:AlternateContent xmlns:mc="http://schemas.openxmlformats.org/markup-compatibility/2006" xmlns:sle15="http://schemas.microsoft.com/office/drawing/2012/slicer">
      <mc:Choice Requires="sle15">
        <xdr:graphicFrame macro="">
          <xdr:nvGraphicFramePr>
            <xdr:cNvPr id="121" name="Date 1">
              <a:extLst>
                <a:ext uri="{FF2B5EF4-FFF2-40B4-BE49-F238E27FC236}">
                  <a16:creationId xmlns:a16="http://schemas.microsoft.com/office/drawing/2014/main" id="{D7344238-530F-4055-A822-98311D378377}"/>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1134726" y="2524124"/>
              <a:ext cx="1828800" cy="41910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466726</xdr:colOff>
      <xdr:row>13</xdr:row>
      <xdr:rowOff>28575</xdr:rowOff>
    </xdr:from>
    <xdr:to>
      <xdr:col>24</xdr:col>
      <xdr:colOff>466726</xdr:colOff>
      <xdr:row>15</xdr:row>
      <xdr:rowOff>85725</xdr:rowOff>
    </xdr:to>
    <mc:AlternateContent xmlns:mc="http://schemas.openxmlformats.org/markup-compatibility/2006" xmlns:sle15="http://schemas.microsoft.com/office/drawing/2012/slicer">
      <mc:Choice Requires="sle15">
        <xdr:graphicFrame macro="">
          <xdr:nvGraphicFramePr>
            <xdr:cNvPr id="122" name="Year 1">
              <a:extLst>
                <a:ext uri="{FF2B5EF4-FFF2-40B4-BE49-F238E27FC236}">
                  <a16:creationId xmlns:a16="http://schemas.microsoft.com/office/drawing/2014/main" id="{A388D196-0BEA-4BEA-B21F-0FD0E8ABBDD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268326" y="2505075"/>
              <a:ext cx="1828800" cy="4381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oneCellAnchor>
    <xdr:from>
      <xdr:col>20</xdr:col>
      <xdr:colOff>9525</xdr:colOff>
      <xdr:row>12</xdr:row>
      <xdr:rowOff>0</xdr:rowOff>
    </xdr:from>
    <xdr:ext cx="904875" cy="264560"/>
    <xdr:sp macro="" textlink="">
      <xdr:nvSpPr>
        <xdr:cNvPr id="123" name="TextBox 122">
          <a:extLst>
            <a:ext uri="{FF2B5EF4-FFF2-40B4-BE49-F238E27FC236}">
              <a16:creationId xmlns:a16="http://schemas.microsoft.com/office/drawing/2014/main" id="{1069FD98-F37F-4931-89D5-132CF628C9A9}"/>
            </a:ext>
          </a:extLst>
        </xdr:cNvPr>
        <xdr:cNvSpPr txBox="1"/>
      </xdr:nvSpPr>
      <xdr:spPr>
        <a:xfrm>
          <a:off x="11591925" y="2286000"/>
          <a:ext cx="9048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bg1"/>
              </a:solidFill>
              <a:latin typeface="Times New Roman" panose="02020603050405020304" pitchFamily="18" charset="0"/>
              <a:ea typeface="+mn-ea"/>
              <a:cs typeface="Times New Roman" panose="02020603050405020304" pitchFamily="18" charset="0"/>
            </a:rPr>
            <a:t>Chọn</a:t>
          </a:r>
          <a:r>
            <a:rPr lang="en-US" sz="1100" baseline="0"/>
            <a:t> </a:t>
          </a:r>
          <a:r>
            <a:rPr lang="en-US" sz="1100" b="1">
              <a:solidFill>
                <a:schemeClr val="bg1"/>
              </a:solidFill>
              <a:latin typeface="Times New Roman" panose="02020603050405020304" pitchFamily="18" charset="0"/>
              <a:ea typeface="+mn-ea"/>
              <a:cs typeface="Times New Roman" panose="02020603050405020304" pitchFamily="18" charset="0"/>
            </a:rPr>
            <a:t>ngày</a:t>
          </a:r>
        </a:p>
      </xdr:txBody>
    </xdr:sp>
    <xdr:clientData/>
  </xdr:oneCellAnchor>
  <xdr:oneCellAnchor>
    <xdr:from>
      <xdr:col>23</xdr:col>
      <xdr:colOff>390526</xdr:colOff>
      <xdr:row>12</xdr:row>
      <xdr:rowOff>0</xdr:rowOff>
    </xdr:from>
    <xdr:ext cx="812467" cy="264560"/>
    <xdr:sp macro="" textlink="">
      <xdr:nvSpPr>
        <xdr:cNvPr id="124" name="TextBox 123">
          <a:extLst>
            <a:ext uri="{FF2B5EF4-FFF2-40B4-BE49-F238E27FC236}">
              <a16:creationId xmlns:a16="http://schemas.microsoft.com/office/drawing/2014/main" id="{FA9ED7C0-B3F7-4CB8-88C9-62A04A28C71E}"/>
            </a:ext>
          </a:extLst>
        </xdr:cNvPr>
        <xdr:cNvSpPr txBox="1"/>
      </xdr:nvSpPr>
      <xdr:spPr>
        <a:xfrm>
          <a:off x="13801726" y="2286000"/>
          <a:ext cx="81246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latin typeface="Times New Roman" panose="02020603050405020304" pitchFamily="18" charset="0"/>
              <a:ea typeface="+mn-ea"/>
              <a:cs typeface="Times New Roman" panose="02020603050405020304" pitchFamily="18" charset="0"/>
            </a:rPr>
            <a:t>Chọn</a:t>
          </a:r>
          <a:r>
            <a:rPr lang="en-US" sz="1100" baseline="0"/>
            <a:t> </a:t>
          </a:r>
          <a:r>
            <a:rPr lang="en-US" sz="1100" b="1">
              <a:solidFill>
                <a:schemeClr val="bg1"/>
              </a:solidFill>
              <a:latin typeface="Times New Roman" panose="02020603050405020304" pitchFamily="18" charset="0"/>
              <a:ea typeface="+mn-ea"/>
              <a:cs typeface="Times New Roman" panose="02020603050405020304" pitchFamily="18" charset="0"/>
            </a:rPr>
            <a:t>năm</a:t>
          </a:r>
        </a:p>
      </xdr:txBody>
    </xdr:sp>
    <xdr:clientData/>
  </xdr:oneCellAnchor>
  <xdr:oneCellAnchor>
    <xdr:from>
      <xdr:col>5</xdr:col>
      <xdr:colOff>552451</xdr:colOff>
      <xdr:row>19</xdr:row>
      <xdr:rowOff>28575</xdr:rowOff>
    </xdr:from>
    <xdr:ext cx="216534" cy="264560"/>
    <xdr:sp macro="" textlink="Dashboard_tab1!$P$4">
      <xdr:nvSpPr>
        <xdr:cNvPr id="128" name="TextBox 127">
          <a:extLst>
            <a:ext uri="{FF2B5EF4-FFF2-40B4-BE49-F238E27FC236}">
              <a16:creationId xmlns:a16="http://schemas.microsoft.com/office/drawing/2014/main" id="{0A8AB6C4-D2D6-4452-8CA8-0C15CCCE2725}"/>
            </a:ext>
          </a:extLst>
        </xdr:cNvPr>
        <xdr:cNvSpPr txBox="1"/>
      </xdr:nvSpPr>
      <xdr:spPr>
        <a:xfrm>
          <a:off x="2990851" y="3648075"/>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849F085-0ADD-44D4-BEF2-9CD808F7019C}" type="TxLink">
            <a:rPr lang="en-US" sz="1100" b="0" i="0" u="none" strike="noStrike">
              <a:solidFill>
                <a:srgbClr val="000000"/>
              </a:solidFill>
              <a:latin typeface="Calibri"/>
              <a:ea typeface="Calibri"/>
              <a:cs typeface="Calibri"/>
            </a:rPr>
            <a:pPr/>
            <a:t> </a:t>
          </a:fld>
          <a:endParaRPr lang="en-US" sz="1100"/>
        </a:p>
      </xdr:txBody>
    </xdr:sp>
    <xdr:clientData/>
  </xdr:oneCellAnchor>
  <xdr:oneCellAnchor>
    <xdr:from>
      <xdr:col>5</xdr:col>
      <xdr:colOff>333376</xdr:colOff>
      <xdr:row>18</xdr:row>
      <xdr:rowOff>0</xdr:rowOff>
    </xdr:from>
    <xdr:ext cx="954107" cy="387222"/>
    <xdr:sp macro="" textlink="Data_analysis!R4">
      <xdr:nvSpPr>
        <xdr:cNvPr id="129" name="TextBox 128">
          <a:extLst>
            <a:ext uri="{FF2B5EF4-FFF2-40B4-BE49-F238E27FC236}">
              <a16:creationId xmlns:a16="http://schemas.microsoft.com/office/drawing/2014/main" id="{DA761113-C374-4B17-A75C-F2B0E397B2A8}"/>
            </a:ext>
          </a:extLst>
        </xdr:cNvPr>
        <xdr:cNvSpPr txBox="1"/>
      </xdr:nvSpPr>
      <xdr:spPr>
        <a:xfrm>
          <a:off x="2771776" y="3429000"/>
          <a:ext cx="95410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41D5061-F389-41F3-A158-DEA6E6891CED}" type="TxLink">
            <a:rPr lang="en-US" sz="2000" b="1" i="0" u="none" strike="noStrike">
              <a:solidFill>
                <a:srgbClr val="2278B9"/>
              </a:solidFill>
              <a:latin typeface="Times New Roman" panose="02020603050405020304" pitchFamily="18" charset="0"/>
              <a:ea typeface="Calibri"/>
              <a:cs typeface="Times New Roman" panose="02020603050405020304" pitchFamily="18" charset="0"/>
            </a:rPr>
            <a:pPr/>
            <a:t>212815</a:t>
          </a:fld>
          <a:endParaRPr lang="en-US" sz="2000" b="1">
            <a:solidFill>
              <a:srgbClr val="2278B9"/>
            </a:solidFill>
            <a:latin typeface="Times New Roman" panose="02020603050405020304" pitchFamily="18" charset="0"/>
            <a:cs typeface="Times New Roman" panose="02020603050405020304" pitchFamily="18" charset="0"/>
          </a:endParaRPr>
        </a:p>
      </xdr:txBody>
    </xdr:sp>
    <xdr:clientData/>
  </xdr:oneCellAnchor>
  <xdr:oneCellAnchor>
    <xdr:from>
      <xdr:col>8</xdr:col>
      <xdr:colOff>190501</xdr:colOff>
      <xdr:row>16</xdr:row>
      <xdr:rowOff>47625</xdr:rowOff>
    </xdr:from>
    <xdr:ext cx="1473417" cy="298800"/>
    <xdr:sp macro="" textlink="">
      <xdr:nvSpPr>
        <xdr:cNvPr id="130" name="TextBox 129">
          <a:extLst>
            <a:ext uri="{FF2B5EF4-FFF2-40B4-BE49-F238E27FC236}">
              <a16:creationId xmlns:a16="http://schemas.microsoft.com/office/drawing/2014/main" id="{5FB19792-32CE-4B27-99BE-E4008E611336}"/>
            </a:ext>
          </a:extLst>
        </xdr:cNvPr>
        <xdr:cNvSpPr txBox="1"/>
      </xdr:nvSpPr>
      <xdr:spPr>
        <a:xfrm>
          <a:off x="4457701" y="3095625"/>
          <a:ext cx="147341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278B9"/>
              </a:solidFill>
              <a:latin typeface="Times New Roman" panose="02020603050405020304" pitchFamily="18" charset="0"/>
              <a:ea typeface="+mn-ea"/>
              <a:cs typeface="Times New Roman" panose="02020603050405020304" pitchFamily="18" charset="0"/>
            </a:rPr>
            <a:t>Tổng</a:t>
          </a:r>
          <a:r>
            <a:rPr lang="en-US" sz="1100" baseline="0"/>
            <a:t> </a:t>
          </a:r>
          <a:r>
            <a:rPr lang="en-US" sz="1400" b="1">
              <a:solidFill>
                <a:srgbClr val="2278B9"/>
              </a:solidFill>
              <a:latin typeface="Times New Roman" panose="02020603050405020304" pitchFamily="18" charset="0"/>
              <a:ea typeface="+mn-ea"/>
              <a:cs typeface="Times New Roman" panose="02020603050405020304" pitchFamily="18" charset="0"/>
            </a:rPr>
            <a:t>Lượng</a:t>
          </a:r>
          <a:r>
            <a:rPr lang="en-US" sz="1100" baseline="0"/>
            <a:t> </a:t>
          </a:r>
          <a:r>
            <a:rPr lang="en-US" sz="1400" b="1">
              <a:solidFill>
                <a:srgbClr val="2278B9"/>
              </a:solidFill>
              <a:latin typeface="Times New Roman" panose="02020603050405020304" pitchFamily="18" charset="0"/>
              <a:ea typeface="+mn-ea"/>
              <a:cs typeface="Times New Roman" panose="02020603050405020304" pitchFamily="18" charset="0"/>
            </a:rPr>
            <a:t>Bán</a:t>
          </a:r>
        </a:p>
      </xdr:txBody>
    </xdr:sp>
    <xdr:clientData/>
  </xdr:oneCellAnchor>
  <xdr:oneCellAnchor>
    <xdr:from>
      <xdr:col>9</xdr:col>
      <xdr:colOff>1</xdr:colOff>
      <xdr:row>17</xdr:row>
      <xdr:rowOff>180975</xdr:rowOff>
    </xdr:from>
    <xdr:ext cx="569387" cy="387222"/>
    <xdr:sp macro="" textlink="Data_analysis!R5">
      <xdr:nvSpPr>
        <xdr:cNvPr id="131" name="TextBox 130">
          <a:extLst>
            <a:ext uri="{FF2B5EF4-FFF2-40B4-BE49-F238E27FC236}">
              <a16:creationId xmlns:a16="http://schemas.microsoft.com/office/drawing/2014/main" id="{56E9C758-5FD2-43B6-AD39-FA0D9857013F}"/>
            </a:ext>
          </a:extLst>
        </xdr:cNvPr>
        <xdr:cNvSpPr txBox="1"/>
      </xdr:nvSpPr>
      <xdr:spPr>
        <a:xfrm>
          <a:off x="4876801" y="3419475"/>
          <a:ext cx="56938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E344F53-A506-4601-ABCD-B8D4FCB8BE8F}" type="TxLink">
            <a:rPr lang="en-US" sz="2000" b="1" i="0" u="none" strike="noStrike">
              <a:solidFill>
                <a:srgbClr val="2278B9"/>
              </a:solidFill>
              <a:latin typeface="Times New Roman" panose="02020603050405020304" pitchFamily="18" charset="0"/>
              <a:ea typeface="Calibri"/>
              <a:cs typeface="Times New Roman" panose="02020603050405020304" pitchFamily="18" charset="0"/>
            </a:rPr>
            <a:pPr marL="0" indent="0"/>
            <a:t>629</a:t>
          </a:fld>
          <a:endParaRPr lang="en-US" sz="2000" b="1" i="0" u="none" strike="noStrike">
            <a:solidFill>
              <a:srgbClr val="2278B9"/>
            </a:solidFill>
            <a:latin typeface="Times New Roman" panose="02020603050405020304" pitchFamily="18" charset="0"/>
            <a:ea typeface="Calibri"/>
            <a:cs typeface="Times New Roman" panose="02020603050405020304" pitchFamily="18" charset="0"/>
          </a:endParaRPr>
        </a:p>
      </xdr:txBody>
    </xdr:sp>
    <xdr:clientData/>
  </xdr:oneCellAnchor>
  <xdr:oneCellAnchor>
    <xdr:from>
      <xdr:col>11</xdr:col>
      <xdr:colOff>514351</xdr:colOff>
      <xdr:row>17</xdr:row>
      <xdr:rowOff>180975</xdr:rowOff>
    </xdr:from>
    <xdr:ext cx="889987" cy="387222"/>
    <xdr:sp macro="" textlink="Data_analysis!R6">
      <xdr:nvSpPr>
        <xdr:cNvPr id="132" name="TextBox 131">
          <a:extLst>
            <a:ext uri="{FF2B5EF4-FFF2-40B4-BE49-F238E27FC236}">
              <a16:creationId xmlns:a16="http://schemas.microsoft.com/office/drawing/2014/main" id="{1C420C9E-FE4F-4C02-80A9-718A086E2506}"/>
            </a:ext>
          </a:extLst>
        </xdr:cNvPr>
        <xdr:cNvSpPr txBox="1"/>
      </xdr:nvSpPr>
      <xdr:spPr>
        <a:xfrm>
          <a:off x="6610351" y="3419475"/>
          <a:ext cx="88998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F3DE6E59-21C0-4DDF-92A9-6EDD60D4D3E7}" type="TxLink">
            <a:rPr lang="en-US" sz="2000" b="1" i="0" u="none" strike="noStrike">
              <a:solidFill>
                <a:srgbClr val="2278B9"/>
              </a:solidFill>
              <a:latin typeface="Times New Roman" panose="02020603050405020304" pitchFamily="18" charset="0"/>
              <a:ea typeface="Calibri"/>
              <a:cs typeface="Times New Roman" panose="02020603050405020304" pitchFamily="18" charset="0"/>
            </a:rPr>
            <a:pPr marL="0" indent="0"/>
            <a:t>338.34</a:t>
          </a:fld>
          <a:endParaRPr lang="en-US" sz="2000" b="1" i="0" u="none" strike="noStrike">
            <a:solidFill>
              <a:srgbClr val="2278B9"/>
            </a:solidFill>
            <a:latin typeface="Times New Roman" panose="02020603050405020304" pitchFamily="18" charset="0"/>
            <a:ea typeface="Calibri"/>
            <a:cs typeface="Times New Roman" panose="02020603050405020304" pitchFamily="18" charset="0"/>
          </a:endParaRPr>
        </a:p>
      </xdr:txBody>
    </xdr:sp>
    <xdr:clientData/>
  </xdr:oneCellAnchor>
  <xdr:oneCellAnchor>
    <xdr:from>
      <xdr:col>5</xdr:col>
      <xdr:colOff>466726</xdr:colOff>
      <xdr:row>19</xdr:row>
      <xdr:rowOff>161925</xdr:rowOff>
    </xdr:from>
    <xdr:ext cx="663323" cy="298800"/>
    <xdr:sp macro="" textlink="">
      <xdr:nvSpPr>
        <xdr:cNvPr id="133" name="TextBox 132">
          <a:extLst>
            <a:ext uri="{FF2B5EF4-FFF2-40B4-BE49-F238E27FC236}">
              <a16:creationId xmlns:a16="http://schemas.microsoft.com/office/drawing/2014/main" id="{FF6D7F6A-2A1B-4D6B-955C-D146240B980F}"/>
            </a:ext>
          </a:extLst>
        </xdr:cNvPr>
        <xdr:cNvSpPr txBox="1"/>
      </xdr:nvSpPr>
      <xdr:spPr>
        <a:xfrm>
          <a:off x="2905126" y="3781425"/>
          <a:ext cx="66332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278B9"/>
              </a:solidFill>
              <a:latin typeface="Times New Roman" panose="02020603050405020304" pitchFamily="18" charset="0"/>
              <a:ea typeface="+mn-ea"/>
              <a:cs typeface="Times New Roman" panose="02020603050405020304" pitchFamily="18" charset="0"/>
            </a:rPr>
            <a:t>(USD)</a:t>
          </a:r>
        </a:p>
      </xdr:txBody>
    </xdr:sp>
    <xdr:clientData/>
  </xdr:oneCellAnchor>
  <xdr:oneCellAnchor>
    <xdr:from>
      <xdr:col>12</xdr:col>
      <xdr:colOff>9526</xdr:colOff>
      <xdr:row>19</xdr:row>
      <xdr:rowOff>161925</xdr:rowOff>
    </xdr:from>
    <xdr:ext cx="663323" cy="311496"/>
    <xdr:sp macro="" textlink="">
      <xdr:nvSpPr>
        <xdr:cNvPr id="134" name="TextBox 133">
          <a:extLst>
            <a:ext uri="{FF2B5EF4-FFF2-40B4-BE49-F238E27FC236}">
              <a16:creationId xmlns:a16="http://schemas.microsoft.com/office/drawing/2014/main" id="{BB365987-AB30-4BAB-9090-C14ABBCAFA24}"/>
            </a:ext>
          </a:extLst>
        </xdr:cNvPr>
        <xdr:cNvSpPr txBox="1"/>
      </xdr:nvSpPr>
      <xdr:spPr>
        <a:xfrm>
          <a:off x="6715126" y="3781425"/>
          <a:ext cx="66332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400" b="1">
              <a:solidFill>
                <a:srgbClr val="2278B9"/>
              </a:solidFill>
              <a:latin typeface="Times New Roman" panose="02020603050405020304" pitchFamily="18" charset="0"/>
              <a:ea typeface="+mn-ea"/>
              <a:cs typeface="Times New Roman" panose="02020603050405020304" pitchFamily="18" charset="0"/>
            </a:rPr>
            <a:t>(USD)</a:t>
          </a:r>
          <a:endParaRPr lang="en-US" sz="1100">
            <a:solidFill>
              <a:schemeClr val="tx1"/>
            </a:solidFill>
            <a:latin typeface="+mn-lt"/>
            <a:ea typeface="+mn-ea"/>
            <a:cs typeface="+mn-cs"/>
          </a:endParaRPr>
        </a:p>
      </xdr:txBody>
    </xdr:sp>
    <xdr:clientData/>
  </xdr:oneCellAnchor>
  <xdr:oneCellAnchor>
    <xdr:from>
      <xdr:col>9</xdr:col>
      <xdr:colOff>38101</xdr:colOff>
      <xdr:row>19</xdr:row>
      <xdr:rowOff>180975</xdr:rowOff>
    </xdr:from>
    <xdr:ext cx="513667" cy="298800"/>
    <xdr:sp macro="" textlink="">
      <xdr:nvSpPr>
        <xdr:cNvPr id="135" name="TextBox 134">
          <a:extLst>
            <a:ext uri="{FF2B5EF4-FFF2-40B4-BE49-F238E27FC236}">
              <a16:creationId xmlns:a16="http://schemas.microsoft.com/office/drawing/2014/main" id="{6E7DC074-B9CE-4C62-8239-EBD6CD779FA1}"/>
            </a:ext>
          </a:extLst>
        </xdr:cNvPr>
        <xdr:cNvSpPr txBox="1"/>
      </xdr:nvSpPr>
      <xdr:spPr>
        <a:xfrm>
          <a:off x="4914901" y="3800475"/>
          <a:ext cx="51366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278B9"/>
              </a:solidFill>
              <a:latin typeface="Times New Roman" panose="02020603050405020304" pitchFamily="18" charset="0"/>
              <a:ea typeface="+mn-ea"/>
              <a:cs typeface="Times New Roman" panose="02020603050405020304" pitchFamily="18" charset="0"/>
            </a:rPr>
            <a:t>(SP)</a:t>
          </a:r>
        </a:p>
      </xdr:txBody>
    </xdr:sp>
    <xdr:clientData/>
  </xdr:oneCellAnchor>
  <xdr:twoCellAnchor>
    <xdr:from>
      <xdr:col>11</xdr:col>
      <xdr:colOff>304800</xdr:colOff>
      <xdr:row>34</xdr:row>
      <xdr:rowOff>38100</xdr:rowOff>
    </xdr:from>
    <xdr:to>
      <xdr:col>19</xdr:col>
      <xdr:colOff>28575</xdr:colOff>
      <xdr:row>47</xdr:row>
      <xdr:rowOff>19050</xdr:rowOff>
    </xdr:to>
    <xdr:graphicFrame macro="">
      <xdr:nvGraphicFramePr>
        <xdr:cNvPr id="139" name="Chart 138">
          <a:extLst>
            <a:ext uri="{FF2B5EF4-FFF2-40B4-BE49-F238E27FC236}">
              <a16:creationId xmlns:a16="http://schemas.microsoft.com/office/drawing/2014/main" id="{C11FC578-79C1-4422-AC5E-09656538B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28577</xdr:colOff>
      <xdr:row>12</xdr:row>
      <xdr:rowOff>142875</xdr:rowOff>
    </xdr:from>
    <xdr:to>
      <xdr:col>5</xdr:col>
      <xdr:colOff>419101</xdr:colOff>
      <xdr:row>15</xdr:row>
      <xdr:rowOff>53435</xdr:rowOff>
    </xdr:to>
    <xdr:pic>
      <xdr:nvPicPr>
        <xdr:cNvPr id="143" name="Picture 142">
          <a:extLst>
            <a:ext uri="{FF2B5EF4-FFF2-40B4-BE49-F238E27FC236}">
              <a16:creationId xmlns:a16="http://schemas.microsoft.com/office/drawing/2014/main" id="{B7DF690D-9E0E-4AC7-B9DF-FAE546BC434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57377" y="2428875"/>
          <a:ext cx="1609724" cy="482060"/>
        </a:xfrm>
        <a:prstGeom prst="rect">
          <a:avLst/>
        </a:prstGeom>
      </xdr:spPr>
    </xdr:pic>
    <xdr:clientData/>
  </xdr:twoCellAnchor>
  <xdr:twoCellAnchor editAs="oneCell">
    <xdr:from>
      <xdr:col>25</xdr:col>
      <xdr:colOff>381002</xdr:colOff>
      <xdr:row>13</xdr:row>
      <xdr:rowOff>76200</xdr:rowOff>
    </xdr:from>
    <xdr:to>
      <xdr:col>27</xdr:col>
      <xdr:colOff>527692</xdr:colOff>
      <xdr:row>20</xdr:row>
      <xdr:rowOff>108590</xdr:rowOff>
    </xdr:to>
    <xdr:pic>
      <xdr:nvPicPr>
        <xdr:cNvPr id="144" name="Picture 143">
          <a:extLst>
            <a:ext uri="{FF2B5EF4-FFF2-40B4-BE49-F238E27FC236}">
              <a16:creationId xmlns:a16="http://schemas.microsoft.com/office/drawing/2014/main" id="{32F8F697-E693-4AB8-8DD8-6F3B2F89A3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11402" y="2552700"/>
          <a:ext cx="1365890" cy="1365890"/>
        </a:xfrm>
        <a:prstGeom prst="rect">
          <a:avLst/>
        </a:prstGeom>
      </xdr:spPr>
    </xdr:pic>
    <xdr:clientData/>
  </xdr:twoCellAnchor>
  <xdr:twoCellAnchor>
    <xdr:from>
      <xdr:col>3</xdr:col>
      <xdr:colOff>104777</xdr:colOff>
      <xdr:row>16</xdr:row>
      <xdr:rowOff>60675</xdr:rowOff>
    </xdr:from>
    <xdr:to>
      <xdr:col>4</xdr:col>
      <xdr:colOff>361952</xdr:colOff>
      <xdr:row>18</xdr:row>
      <xdr:rowOff>184500</xdr:rowOff>
    </xdr:to>
    <xdr:sp macro="" textlink="">
      <xdr:nvSpPr>
        <xdr:cNvPr id="145" name="Rectangle: Rounded Corners 144">
          <a:hlinkClick xmlns:r="http://schemas.openxmlformats.org/officeDocument/2006/relationships" r:id="rId4"/>
          <a:extLst>
            <a:ext uri="{FF2B5EF4-FFF2-40B4-BE49-F238E27FC236}">
              <a16:creationId xmlns:a16="http://schemas.microsoft.com/office/drawing/2014/main" id="{BAA9919D-7166-4087-94F0-BD5C1880A1D5}"/>
            </a:ext>
          </a:extLst>
        </xdr:cNvPr>
        <xdr:cNvSpPr/>
      </xdr:nvSpPr>
      <xdr:spPr>
        <a:xfrm>
          <a:off x="1323977" y="3108675"/>
          <a:ext cx="866775" cy="504825"/>
        </a:xfrm>
        <a:prstGeom prst="roundRect">
          <a:avLst/>
        </a:prstGeom>
        <a:solidFill>
          <a:srgbClr val="2278B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Times New Roman" panose="02020603050405020304" pitchFamily="18" charset="0"/>
              <a:cs typeface="Times New Roman" panose="02020603050405020304" pitchFamily="18" charset="0"/>
            </a:rPr>
            <a:t>Tổng</a:t>
          </a:r>
          <a:r>
            <a:rPr lang="en-US" sz="1100" b="1" baseline="0">
              <a:latin typeface="Times New Roman" panose="02020603050405020304" pitchFamily="18" charset="0"/>
              <a:cs typeface="Times New Roman" panose="02020603050405020304" pitchFamily="18" charset="0"/>
            </a:rPr>
            <a:t> quát</a:t>
          </a:r>
          <a:endParaRPr lang="en-US" sz="1100" b="1">
            <a:latin typeface="Times New Roman" panose="02020603050405020304" pitchFamily="18" charset="0"/>
            <a:cs typeface="Times New Roman" panose="02020603050405020304" pitchFamily="18" charset="0"/>
          </a:endParaRPr>
        </a:p>
      </xdr:txBody>
    </xdr:sp>
    <xdr:clientData/>
  </xdr:twoCellAnchor>
  <xdr:twoCellAnchor editAs="oneCell">
    <xdr:from>
      <xdr:col>14</xdr:col>
      <xdr:colOff>123826</xdr:colOff>
      <xdr:row>16</xdr:row>
      <xdr:rowOff>9525</xdr:rowOff>
    </xdr:from>
    <xdr:to>
      <xdr:col>16</xdr:col>
      <xdr:colOff>561976</xdr:colOff>
      <xdr:row>21</xdr:row>
      <xdr:rowOff>142875</xdr:rowOff>
    </xdr:to>
    <mc:AlternateContent xmlns:mc="http://schemas.openxmlformats.org/markup-compatibility/2006" xmlns:a14="http://schemas.microsoft.com/office/drawing/2010/main">
      <mc:Choice Requires="a14">
        <xdr:graphicFrame macro="">
          <xdr:nvGraphicFramePr>
            <xdr:cNvPr id="146" name="Category 1">
              <a:extLst>
                <a:ext uri="{FF2B5EF4-FFF2-40B4-BE49-F238E27FC236}">
                  <a16:creationId xmlns:a16="http://schemas.microsoft.com/office/drawing/2014/main" id="{EC78CEB4-5B19-461F-8649-5AB0F35BF99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658226" y="3057525"/>
              <a:ext cx="165735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56451</xdr:colOff>
      <xdr:row>16</xdr:row>
      <xdr:rowOff>19050</xdr:rowOff>
    </xdr:from>
    <xdr:to>
      <xdr:col>19</xdr:col>
      <xdr:colOff>391731</xdr:colOff>
      <xdr:row>21</xdr:row>
      <xdr:rowOff>152400</xdr:rowOff>
    </xdr:to>
    <mc:AlternateContent xmlns:mc="http://schemas.openxmlformats.org/markup-compatibility/2006" xmlns:a14="http://schemas.microsoft.com/office/drawing/2010/main">
      <mc:Choice Requires="a14">
        <xdr:graphicFrame macro="">
          <xdr:nvGraphicFramePr>
            <xdr:cNvPr id="147" name="Product 1">
              <a:extLst>
                <a:ext uri="{FF2B5EF4-FFF2-40B4-BE49-F238E27FC236}">
                  <a16:creationId xmlns:a16="http://schemas.microsoft.com/office/drawing/2014/main" id="{7AFD2988-C049-47A3-B921-F2855DEDA18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419651" y="3067050"/>
              <a:ext cx="155448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523874</xdr:colOff>
      <xdr:row>16</xdr:row>
      <xdr:rowOff>19050</xdr:rowOff>
    </xdr:from>
    <xdr:to>
      <xdr:col>22</xdr:col>
      <xdr:colOff>400050</xdr:colOff>
      <xdr:row>21</xdr:row>
      <xdr:rowOff>152400</xdr:rowOff>
    </xdr:to>
    <mc:AlternateContent xmlns:mc="http://schemas.openxmlformats.org/markup-compatibility/2006" xmlns:a14="http://schemas.microsoft.com/office/drawing/2010/main">
      <mc:Choice Requires="a14">
        <xdr:graphicFrame macro="">
          <xdr:nvGraphicFramePr>
            <xdr:cNvPr id="148" name="Customer Location 1">
              <a:extLst>
                <a:ext uri="{FF2B5EF4-FFF2-40B4-BE49-F238E27FC236}">
                  <a16:creationId xmlns:a16="http://schemas.microsoft.com/office/drawing/2014/main" id="{050201FD-61F7-4F2E-AA6D-0E91B12A423E}"/>
                </a:ext>
              </a:extLst>
            </xdr:cNvPr>
            <xdr:cNvGraphicFramePr/>
          </xdr:nvGraphicFramePr>
          <xdr:xfrm>
            <a:off x="0" y="0"/>
            <a:ext cx="0" cy="0"/>
          </xdr:xfrm>
          <a:graphic>
            <a:graphicData uri="http://schemas.microsoft.com/office/drawing/2010/slicer">
              <sle:slicer xmlns:sle="http://schemas.microsoft.com/office/drawing/2010/slicer" name="Customer Location 1"/>
            </a:graphicData>
          </a:graphic>
        </xdr:graphicFrame>
      </mc:Choice>
      <mc:Fallback xmlns="">
        <xdr:sp macro="" textlink="">
          <xdr:nvSpPr>
            <xdr:cNvPr id="0" name=""/>
            <xdr:cNvSpPr>
              <a:spLocks noTextEdit="1"/>
            </xdr:cNvSpPr>
          </xdr:nvSpPr>
          <xdr:spPr>
            <a:xfrm>
              <a:off x="12106274" y="3067050"/>
              <a:ext cx="1704976"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66678</xdr:colOff>
      <xdr:row>31</xdr:row>
      <xdr:rowOff>38101</xdr:rowOff>
    </xdr:from>
    <xdr:to>
      <xdr:col>4</xdr:col>
      <xdr:colOff>409576</xdr:colOff>
      <xdr:row>46</xdr:row>
      <xdr:rowOff>38101</xdr:rowOff>
    </xdr:to>
    <mc:AlternateContent xmlns:mc="http://schemas.openxmlformats.org/markup-compatibility/2006" xmlns:a14="http://schemas.microsoft.com/office/drawing/2010/main">
      <mc:Choice Requires="a14">
        <xdr:graphicFrame macro="">
          <xdr:nvGraphicFramePr>
            <xdr:cNvPr id="149" name="Month 1">
              <a:extLst>
                <a:ext uri="{FF2B5EF4-FFF2-40B4-BE49-F238E27FC236}">
                  <a16:creationId xmlns:a16="http://schemas.microsoft.com/office/drawing/2014/main" id="{6FD23907-2120-462C-A838-964F2D7CFF7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95478" y="5943601"/>
              <a:ext cx="952498" cy="285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66678</xdr:colOff>
      <xdr:row>24</xdr:row>
      <xdr:rowOff>38100</xdr:rowOff>
    </xdr:from>
    <xdr:to>
      <xdr:col>4</xdr:col>
      <xdr:colOff>409576</xdr:colOff>
      <xdr:row>29</xdr:row>
      <xdr:rowOff>93110</xdr:rowOff>
    </xdr:to>
    <mc:AlternateContent xmlns:mc="http://schemas.openxmlformats.org/markup-compatibility/2006" xmlns:a14="http://schemas.microsoft.com/office/drawing/2010/main">
      <mc:Choice Requires="a14">
        <xdr:graphicFrame macro="">
          <xdr:nvGraphicFramePr>
            <xdr:cNvPr id="150" name="Status 1">
              <a:extLst>
                <a:ext uri="{FF2B5EF4-FFF2-40B4-BE49-F238E27FC236}">
                  <a16:creationId xmlns:a16="http://schemas.microsoft.com/office/drawing/2014/main" id="{EEF9FEE7-997C-4551-BB33-136738FA7961}"/>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895478" y="4610100"/>
              <a:ext cx="952498" cy="10075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466726</xdr:colOff>
      <xdr:row>16</xdr:row>
      <xdr:rowOff>15745</xdr:rowOff>
    </xdr:from>
    <xdr:to>
      <xdr:col>25</xdr:col>
      <xdr:colOff>466726</xdr:colOff>
      <xdr:row>21</xdr:row>
      <xdr:rowOff>142874</xdr:rowOff>
    </xdr:to>
    <mc:AlternateContent xmlns:mc="http://schemas.openxmlformats.org/markup-compatibility/2006" xmlns:a14="http://schemas.microsoft.com/office/drawing/2010/main">
      <mc:Choice Requires="a14">
        <xdr:graphicFrame macro="">
          <xdr:nvGraphicFramePr>
            <xdr:cNvPr id="151" name="Payment Method 1">
              <a:extLst>
                <a:ext uri="{FF2B5EF4-FFF2-40B4-BE49-F238E27FC236}">
                  <a16:creationId xmlns:a16="http://schemas.microsoft.com/office/drawing/2014/main" id="{DA1B2941-4CA0-4772-82B4-E41F0285C251}"/>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3877926" y="3063745"/>
              <a:ext cx="1828800" cy="1079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104777</xdr:colOff>
      <xdr:row>19</xdr:row>
      <xdr:rowOff>41915</xdr:rowOff>
    </xdr:from>
    <xdr:to>
      <xdr:col>4</xdr:col>
      <xdr:colOff>361952</xdr:colOff>
      <xdr:row>21</xdr:row>
      <xdr:rowOff>175264</xdr:rowOff>
    </xdr:to>
    <xdr:sp macro="" textlink="">
      <xdr:nvSpPr>
        <xdr:cNvPr id="152" name="Rectangle: Rounded Corners 151">
          <a:hlinkClick xmlns:r="http://schemas.openxmlformats.org/officeDocument/2006/relationships" r:id="rId5"/>
          <a:extLst>
            <a:ext uri="{FF2B5EF4-FFF2-40B4-BE49-F238E27FC236}">
              <a16:creationId xmlns:a16="http://schemas.microsoft.com/office/drawing/2014/main" id="{1C0B41B7-9EE9-4CD7-858D-A8908434F1E9}"/>
            </a:ext>
          </a:extLst>
        </xdr:cNvPr>
        <xdr:cNvSpPr/>
      </xdr:nvSpPr>
      <xdr:spPr>
        <a:xfrm>
          <a:off x="1323977" y="3661415"/>
          <a:ext cx="866775" cy="514349"/>
        </a:xfrm>
        <a:prstGeom prst="roundRect">
          <a:avLst/>
        </a:prstGeom>
        <a:solidFill>
          <a:srgbClr val="2278B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latin typeface="Times New Roman" panose="02020603050405020304" pitchFamily="18" charset="0"/>
              <a:cs typeface="Times New Roman" panose="02020603050405020304" pitchFamily="18" charset="0"/>
            </a:rPr>
            <a:t>Chi tiết</a:t>
          </a:r>
        </a:p>
      </xdr:txBody>
    </xdr:sp>
    <xdr:clientData/>
  </xdr:twoCellAnchor>
  <xdr:oneCellAnchor>
    <xdr:from>
      <xdr:col>3</xdr:col>
      <xdr:colOff>144484</xdr:colOff>
      <xdr:row>29</xdr:row>
      <xdr:rowOff>137210</xdr:rowOff>
    </xdr:from>
    <xdr:ext cx="683649" cy="298800"/>
    <xdr:sp macro="" textlink="">
      <xdr:nvSpPr>
        <xdr:cNvPr id="153" name="TextBox 152">
          <a:extLst>
            <a:ext uri="{FF2B5EF4-FFF2-40B4-BE49-F238E27FC236}">
              <a16:creationId xmlns:a16="http://schemas.microsoft.com/office/drawing/2014/main" id="{8A5123C7-51ED-4398-B77C-A1F266053C0E}"/>
            </a:ext>
          </a:extLst>
        </xdr:cNvPr>
        <xdr:cNvSpPr txBox="1"/>
      </xdr:nvSpPr>
      <xdr:spPr>
        <a:xfrm>
          <a:off x="1363684" y="5661710"/>
          <a:ext cx="683649"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278B9"/>
              </a:solidFill>
              <a:latin typeface="Times New Roman" panose="02020603050405020304" pitchFamily="18" charset="0"/>
              <a:cs typeface="Times New Roman" panose="02020603050405020304" pitchFamily="18" charset="0"/>
            </a:rPr>
            <a:t>Tháng</a:t>
          </a:r>
        </a:p>
      </xdr:txBody>
    </xdr:sp>
    <xdr:clientData/>
  </xdr:oneCellAnchor>
  <xdr:oneCellAnchor>
    <xdr:from>
      <xdr:col>3</xdr:col>
      <xdr:colOff>18185</xdr:colOff>
      <xdr:row>22</xdr:row>
      <xdr:rowOff>158400</xdr:rowOff>
    </xdr:from>
    <xdr:ext cx="1067665" cy="298800"/>
    <xdr:sp macro="" textlink="">
      <xdr:nvSpPr>
        <xdr:cNvPr id="154" name="TextBox 153">
          <a:extLst>
            <a:ext uri="{FF2B5EF4-FFF2-40B4-BE49-F238E27FC236}">
              <a16:creationId xmlns:a16="http://schemas.microsoft.com/office/drawing/2014/main" id="{88874030-6A6A-4692-8EE0-78A70470ACCD}"/>
            </a:ext>
          </a:extLst>
        </xdr:cNvPr>
        <xdr:cNvSpPr txBox="1"/>
      </xdr:nvSpPr>
      <xdr:spPr>
        <a:xfrm>
          <a:off x="1237385" y="4349400"/>
          <a:ext cx="106766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rgbClr val="2278B9"/>
              </a:solidFill>
              <a:latin typeface="Times New Roman" panose="02020603050405020304" pitchFamily="18" charset="0"/>
              <a:cs typeface="Times New Roman" panose="02020603050405020304" pitchFamily="18" charset="0"/>
            </a:rPr>
            <a:t>Trạng</a:t>
          </a:r>
          <a:r>
            <a:rPr lang="en-US" sz="1400" b="1" baseline="0">
              <a:solidFill>
                <a:srgbClr val="2278B9"/>
              </a:solidFill>
              <a:latin typeface="Times New Roman" panose="02020603050405020304" pitchFamily="18" charset="0"/>
              <a:cs typeface="Times New Roman" panose="02020603050405020304" pitchFamily="18" charset="0"/>
            </a:rPr>
            <a:t> Thái</a:t>
          </a:r>
          <a:endParaRPr lang="en-US" sz="1400" b="1">
            <a:solidFill>
              <a:srgbClr val="2278B9"/>
            </a:solidFill>
            <a:latin typeface="Times New Roman" panose="02020603050405020304" pitchFamily="18" charset="0"/>
            <a:cs typeface="Times New Roman" panose="02020603050405020304" pitchFamily="18" charset="0"/>
          </a:endParaRPr>
        </a:p>
      </xdr:txBody>
    </xdr:sp>
    <xdr:clientData/>
  </xdr:oneCellAnchor>
  <xdr:oneCellAnchor>
    <xdr:from>
      <xdr:col>3</xdr:col>
      <xdr:colOff>600076</xdr:colOff>
      <xdr:row>33</xdr:row>
      <xdr:rowOff>114300</xdr:rowOff>
    </xdr:from>
    <xdr:ext cx="184731" cy="264560"/>
    <xdr:sp macro="" textlink="">
      <xdr:nvSpPr>
        <xdr:cNvPr id="155" name="TextBox 154">
          <a:extLst>
            <a:ext uri="{FF2B5EF4-FFF2-40B4-BE49-F238E27FC236}">
              <a16:creationId xmlns:a16="http://schemas.microsoft.com/office/drawing/2014/main" id="{2D3E61F4-A460-44A8-BBA3-BAEA1BE3FB8E}"/>
            </a:ext>
          </a:extLst>
        </xdr:cNvPr>
        <xdr:cNvSpPr txBox="1"/>
      </xdr:nvSpPr>
      <xdr:spPr>
        <a:xfrm>
          <a:off x="1819276" y="64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19050</xdr:colOff>
      <xdr:row>22</xdr:row>
      <xdr:rowOff>38100</xdr:rowOff>
    </xdr:from>
    <xdr:to>
      <xdr:col>11</xdr:col>
      <xdr:colOff>171451</xdr:colOff>
      <xdr:row>33</xdr:row>
      <xdr:rowOff>114300</xdr:rowOff>
    </xdr:to>
    <xdr:graphicFrame macro="">
      <xdr:nvGraphicFramePr>
        <xdr:cNvPr id="157" name="Chart 156">
          <a:extLst>
            <a:ext uri="{FF2B5EF4-FFF2-40B4-BE49-F238E27FC236}">
              <a16:creationId xmlns:a16="http://schemas.microsoft.com/office/drawing/2014/main" id="{14308A6C-2547-453A-8B54-50DC6AF7D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34</xdr:row>
      <xdr:rowOff>38099</xdr:rowOff>
    </xdr:from>
    <xdr:to>
      <xdr:col>11</xdr:col>
      <xdr:colOff>171451</xdr:colOff>
      <xdr:row>47</xdr:row>
      <xdr:rowOff>19051</xdr:rowOff>
    </xdr:to>
    <xdr:graphicFrame macro="">
      <xdr:nvGraphicFramePr>
        <xdr:cNvPr id="159" name="Chart 158">
          <a:extLst>
            <a:ext uri="{FF2B5EF4-FFF2-40B4-BE49-F238E27FC236}">
              <a16:creationId xmlns:a16="http://schemas.microsoft.com/office/drawing/2014/main" id="{FB000397-E2F8-46AC-9667-4F5ACD1CF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304799</xdr:colOff>
      <xdr:row>22</xdr:row>
      <xdr:rowOff>47625</xdr:rowOff>
    </xdr:from>
    <xdr:to>
      <xdr:col>19</xdr:col>
      <xdr:colOff>28574</xdr:colOff>
      <xdr:row>33</xdr:row>
      <xdr:rowOff>114300</xdr:rowOff>
    </xdr:to>
    <xdr:graphicFrame macro="">
      <xdr:nvGraphicFramePr>
        <xdr:cNvPr id="160" name="Chart 159">
          <a:extLst>
            <a:ext uri="{FF2B5EF4-FFF2-40B4-BE49-F238E27FC236}">
              <a16:creationId xmlns:a16="http://schemas.microsoft.com/office/drawing/2014/main" id="{1ECEEF2C-7CDD-451A-822A-7871A0911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159974</xdr:colOff>
      <xdr:row>22</xdr:row>
      <xdr:rowOff>57150</xdr:rowOff>
    </xdr:from>
    <xdr:to>
      <xdr:col>27</xdr:col>
      <xdr:colOff>403867</xdr:colOff>
      <xdr:row>33</xdr:row>
      <xdr:rowOff>152400</xdr:rowOff>
    </xdr:to>
    <xdr:graphicFrame macro="">
      <xdr:nvGraphicFramePr>
        <xdr:cNvPr id="161" name="Chart 160">
          <a:extLst>
            <a:ext uri="{FF2B5EF4-FFF2-40B4-BE49-F238E27FC236}">
              <a16:creationId xmlns:a16="http://schemas.microsoft.com/office/drawing/2014/main" id="{54E8EC2E-D905-460F-BFF6-04B7F27F5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179025</xdr:colOff>
      <xdr:row>34</xdr:row>
      <xdr:rowOff>38099</xdr:rowOff>
    </xdr:from>
    <xdr:to>
      <xdr:col>27</xdr:col>
      <xdr:colOff>403867</xdr:colOff>
      <xdr:row>47</xdr:row>
      <xdr:rowOff>19051</xdr:rowOff>
    </xdr:to>
    <xdr:graphicFrame macro="">
      <xdr:nvGraphicFramePr>
        <xdr:cNvPr id="163" name="Chart 162">
          <a:extLst>
            <a:ext uri="{FF2B5EF4-FFF2-40B4-BE49-F238E27FC236}">
              <a16:creationId xmlns:a16="http://schemas.microsoft.com/office/drawing/2014/main" id="{D4EA4600-12D5-4E97-8999-A2B591326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19050</xdr:colOff>
      <xdr:row>14</xdr:row>
      <xdr:rowOff>73518</xdr:rowOff>
    </xdr:from>
    <xdr:to>
      <xdr:col>14</xdr:col>
      <xdr:colOff>0</xdr:colOff>
      <xdr:row>21</xdr:row>
      <xdr:rowOff>152400</xdr:rowOff>
    </xdr:to>
    <xdr:graphicFrame macro="">
      <xdr:nvGraphicFramePr>
        <xdr:cNvPr id="164" name="Chart 163">
          <a:extLst>
            <a:ext uri="{FF2B5EF4-FFF2-40B4-BE49-F238E27FC236}">
              <a16:creationId xmlns:a16="http://schemas.microsoft.com/office/drawing/2014/main" id="{2306C07D-C0BF-4130-8730-44858896E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Victus" refreshedDate="46102.664580902776" createdVersion="7" refreshedVersion="7" minRefreshableVersion="3" recordCount="218" xr:uid="{CE67D0B3-37F4-4568-8584-375667F77B36}">
  <cacheSource type="worksheet">
    <worksheetSource name="Table2"/>
  </cacheSource>
  <cacheFields count="16">
    <cacheField name="Order ID" numFmtId="0">
      <sharedItems/>
    </cacheField>
    <cacheField name="Date" numFmtId="14">
      <sharedItems containsDate="1" containsMixedTypes="1" minDate="2025-01-03T00:00:00" maxDate="2025-12-04T00:00:00"/>
    </cacheField>
    <cacheField name="Product" numFmtId="0">
      <sharedItems count="10">
        <s v="Running Shoes"/>
        <s v="Headphones"/>
        <s v="Smartwatch"/>
        <s v="T-Shirt"/>
        <s v="Smartphone"/>
        <s v="Book"/>
        <s v="Jeans"/>
        <s v="Washing Machine"/>
        <s v="Refrigerator"/>
        <s v="Laptop"/>
      </sharedItems>
    </cacheField>
    <cacheField name="Category" numFmtId="0">
      <sharedItems count="5">
        <s v="Footwear"/>
        <s v="Electronics"/>
        <s v="Clothing"/>
        <s v="Home Appliances"/>
        <s v="Books"/>
      </sharedItems>
    </cacheField>
    <cacheField name="Price" numFmtId="0">
      <sharedItems containsSemiMixedTypes="0" containsString="0" containsNumber="1" containsInteger="1" minValue="15" maxValue="1200" count="10">
        <n v="60"/>
        <n v="100"/>
        <n v="150"/>
        <n v="20"/>
        <n v="500"/>
        <n v="15"/>
        <n v="40"/>
        <n v="600"/>
        <n v="1200"/>
        <n v="800"/>
      </sharedItems>
      <fieldGroup base="4">
        <rangePr startNum="15" endNum="1200" groupInterval="20"/>
        <groupItems count="62">
          <s v="&lt;15"/>
          <s v="15-34"/>
          <s v="35-54"/>
          <s v="55-74"/>
          <s v="75-94"/>
          <s v="95-114"/>
          <s v="115-134"/>
          <s v="135-154"/>
          <s v="155-174"/>
          <s v="175-194"/>
          <s v="195-214"/>
          <s v="215-234"/>
          <s v="235-254"/>
          <s v="255-274"/>
          <s v="275-294"/>
          <s v="295-314"/>
          <s v="315-334"/>
          <s v="335-354"/>
          <s v="355-374"/>
          <s v="375-394"/>
          <s v="395-414"/>
          <s v="415-434"/>
          <s v="435-454"/>
          <s v="455-474"/>
          <s v="475-494"/>
          <s v="495-514"/>
          <s v="515-534"/>
          <s v="535-554"/>
          <s v="555-574"/>
          <s v="575-594"/>
          <s v="595-614"/>
          <s v="615-634"/>
          <s v="635-654"/>
          <s v="655-674"/>
          <s v="675-694"/>
          <s v="695-714"/>
          <s v="715-734"/>
          <s v="735-754"/>
          <s v="755-774"/>
          <s v="775-794"/>
          <s v="795-814"/>
          <s v="815-834"/>
          <s v="835-854"/>
          <s v="855-874"/>
          <s v="875-894"/>
          <s v="895-914"/>
          <s v="915-934"/>
          <s v="935-954"/>
          <s v="955-974"/>
          <s v="975-994"/>
          <s v="995-1014"/>
          <s v="1015-1034"/>
          <s v="1035-1054"/>
          <s v="1055-1074"/>
          <s v="1075-1094"/>
          <s v="1095-1114"/>
          <s v="1115-1134"/>
          <s v="1135-1154"/>
          <s v="1155-1174"/>
          <s v="1175-1194"/>
          <s v="1195-1214"/>
          <s v="&gt;1215"/>
        </groupItems>
      </fieldGroup>
    </cacheField>
    <cacheField name="Quantity" numFmtId="0">
      <sharedItems containsSemiMixedTypes="0" containsString="0" containsNumber="1" containsInteger="1" minValue="1" maxValue="5" count="5">
        <n v="3"/>
        <n v="4"/>
        <n v="2"/>
        <n v="1"/>
        <n v="5"/>
      </sharedItems>
      <fieldGroup base="5">
        <rangePr startNum="1" endNum="5"/>
        <groupItems count="6">
          <s v="&lt;1"/>
          <s v="1-1"/>
          <s v="2-2"/>
          <s v="3-3"/>
          <s v="4-5"/>
          <s v="&gt;5"/>
        </groupItems>
      </fieldGroup>
    </cacheField>
    <cacheField name="Total Sales" numFmtId="0">
      <sharedItems containsSemiMixedTypes="0" containsString="0" containsNumber="1" containsInteger="1" minValue="15" maxValue="6000" count="36">
        <n v="180"/>
        <n v="400"/>
        <n v="120"/>
        <n v="450"/>
        <n v="20"/>
        <n v="600"/>
        <n v="500"/>
        <n v="60"/>
        <n v="30"/>
        <n v="160"/>
        <n v="1800"/>
        <n v="1200"/>
        <n v="1000"/>
        <n v="4800"/>
        <n v="15"/>
        <n v="3600"/>
        <n v="75"/>
        <n v="100"/>
        <n v="2000"/>
        <n v="2400"/>
        <n v="300"/>
        <n v="1600"/>
        <n v="150"/>
        <n v="80"/>
        <n v="40"/>
        <n v="240"/>
        <n v="4000"/>
        <n v="2500"/>
        <n v="45"/>
        <n v="750"/>
        <n v="200"/>
        <n v="1500"/>
        <n v="3200"/>
        <n v="6000"/>
        <n v="3000"/>
        <n v="800"/>
      </sharedItems>
      <fieldGroup base="6">
        <rangePr startNum="15" endNum="6000" groupInterval="100"/>
        <groupItems count="62">
          <s v="&lt;15"/>
          <s v="15-114"/>
          <s v="115-214"/>
          <s v="215-314"/>
          <s v="315-414"/>
          <s v="415-514"/>
          <s v="515-614"/>
          <s v="615-714"/>
          <s v="715-814"/>
          <s v="815-914"/>
          <s v="915-1014"/>
          <s v="1015-1114"/>
          <s v="1115-1214"/>
          <s v="1215-1314"/>
          <s v="1315-1414"/>
          <s v="1415-1514"/>
          <s v="1515-1614"/>
          <s v="1615-1714"/>
          <s v="1715-1814"/>
          <s v="1815-1914"/>
          <s v="1915-2014"/>
          <s v="2015-2114"/>
          <s v="2115-2214"/>
          <s v="2215-2314"/>
          <s v="2315-2414"/>
          <s v="2415-2514"/>
          <s v="2515-2614"/>
          <s v="2615-2714"/>
          <s v="2715-2814"/>
          <s v="2815-2914"/>
          <s v="2915-3014"/>
          <s v="3015-3114"/>
          <s v="3115-3214"/>
          <s v="3215-3314"/>
          <s v="3315-3414"/>
          <s v="3415-3514"/>
          <s v="3515-3614"/>
          <s v="3615-3714"/>
          <s v="3715-3814"/>
          <s v="3815-3914"/>
          <s v="3915-4014"/>
          <s v="4015-4114"/>
          <s v="4115-4214"/>
          <s v="4215-4314"/>
          <s v="4315-4414"/>
          <s v="4415-4514"/>
          <s v="4515-4614"/>
          <s v="4615-4714"/>
          <s v="4715-4814"/>
          <s v="4815-4914"/>
          <s v="4915-5014"/>
          <s v="5015-5114"/>
          <s v="5115-5214"/>
          <s v="5215-5314"/>
          <s v="5315-5414"/>
          <s v="5415-5514"/>
          <s v="5515-5614"/>
          <s v="5615-5714"/>
          <s v="5715-5814"/>
          <s v="5815-5914"/>
          <s v="5915-6014"/>
          <s v="&gt;6015"/>
        </groupItems>
      </fieldGroup>
    </cacheField>
    <cacheField name="Customer Name" numFmtId="0">
      <sharedItems count="10">
        <s v="Emma Clark"/>
        <s v="Emily Johnson"/>
        <s v="John Doe"/>
        <s v="Olivia Wilson"/>
        <s v="Sophia Miller"/>
        <s v="David Lee"/>
        <s v="Michael Brown"/>
        <s v="Chris White"/>
        <s v="Daniel Harris"/>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Duplicate" numFmtId="0">
      <sharedItems containsSemiMixedTypes="0" containsString="0" containsNumber="1" containsInteger="1" minValue="1" maxValue="1"/>
    </cacheField>
    <cacheField name="Date_text" numFmtId="0">
      <sharedItems/>
    </cacheField>
    <cacheField name="Date_" numFmtId="0">
      <sharedItems/>
    </cacheField>
    <cacheField name="Month" numFmtId="0">
      <sharedItems count="12">
        <s v="03"/>
        <s v="02"/>
        <s v="10"/>
        <s v="08"/>
        <s v="12"/>
        <s v="04"/>
        <s v="01"/>
        <s v="07"/>
        <s v="09"/>
        <s v="06"/>
        <s v="11"/>
        <s v="05"/>
      </sharedItems>
    </cacheField>
    <cacheField name="Year" numFmtId="0">
      <sharedItems/>
    </cacheField>
  </cacheFields>
  <extLst>
    <ext xmlns:x14="http://schemas.microsoft.com/office/spreadsheetml/2009/9/main" uri="{725AE2AE-9491-48be-B2B4-4EB974FC3084}">
      <x14:pivotCacheDefinition pivotCacheId="1066659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s v="ORD0001"/>
    <s v="14-03-25"/>
    <x v="0"/>
    <x v="0"/>
    <x v="0"/>
    <x v="0"/>
    <x v="0"/>
    <x v="0"/>
    <x v="0"/>
    <x v="0"/>
    <x v="0"/>
    <n v="1"/>
    <s v="14-03-25"/>
    <s v="14"/>
    <x v="0"/>
    <s v="25"/>
  </r>
  <r>
    <s v="ORD0002"/>
    <s v="20-03-25"/>
    <x v="1"/>
    <x v="1"/>
    <x v="1"/>
    <x v="1"/>
    <x v="1"/>
    <x v="1"/>
    <x v="1"/>
    <x v="0"/>
    <x v="1"/>
    <n v="1"/>
    <s v="20-03-25"/>
    <s v="20"/>
    <x v="0"/>
    <s v="25"/>
  </r>
  <r>
    <s v="ORD0003"/>
    <s v="15-02-25"/>
    <x v="0"/>
    <x v="0"/>
    <x v="0"/>
    <x v="2"/>
    <x v="2"/>
    <x v="2"/>
    <x v="2"/>
    <x v="1"/>
    <x v="0"/>
    <n v="1"/>
    <s v="15-02-25"/>
    <s v="15"/>
    <x v="1"/>
    <s v="25"/>
  </r>
  <r>
    <s v="ORD0004"/>
    <s v="19-02-25"/>
    <x v="0"/>
    <x v="0"/>
    <x v="0"/>
    <x v="0"/>
    <x v="0"/>
    <x v="3"/>
    <x v="3"/>
    <x v="2"/>
    <x v="1"/>
    <n v="1"/>
    <s v="19-02-25"/>
    <s v="19"/>
    <x v="1"/>
    <s v="25"/>
  </r>
  <r>
    <s v="ORD0005"/>
    <d v="2025-10-03T00:00:00"/>
    <x v="2"/>
    <x v="1"/>
    <x v="2"/>
    <x v="0"/>
    <x v="3"/>
    <x v="0"/>
    <x v="0"/>
    <x v="0"/>
    <x v="1"/>
    <n v="1"/>
    <s v="03-10-25"/>
    <s v="03"/>
    <x v="2"/>
    <s v="25"/>
  </r>
  <r>
    <s v="ORD0006"/>
    <s v="14-03-25"/>
    <x v="3"/>
    <x v="2"/>
    <x v="3"/>
    <x v="3"/>
    <x v="4"/>
    <x v="2"/>
    <x v="3"/>
    <x v="2"/>
    <x v="1"/>
    <n v="1"/>
    <s v="14-03-25"/>
    <s v="14"/>
    <x v="0"/>
    <s v="25"/>
  </r>
  <r>
    <s v="ORD0007"/>
    <s v="18-03-25"/>
    <x v="2"/>
    <x v="1"/>
    <x v="2"/>
    <x v="1"/>
    <x v="5"/>
    <x v="0"/>
    <x v="4"/>
    <x v="3"/>
    <x v="2"/>
    <n v="1"/>
    <s v="18-03-25"/>
    <s v="18"/>
    <x v="0"/>
    <s v="25"/>
  </r>
  <r>
    <s v="ORD0008"/>
    <d v="2025-02-03T00:00:00"/>
    <x v="4"/>
    <x v="1"/>
    <x v="4"/>
    <x v="3"/>
    <x v="6"/>
    <x v="4"/>
    <x v="5"/>
    <x v="3"/>
    <x v="2"/>
    <n v="1"/>
    <s v="03-02-25"/>
    <s v="03"/>
    <x v="1"/>
    <s v="25"/>
  </r>
  <r>
    <s v="ORD0009"/>
    <d v="2025-08-03T00:00:00"/>
    <x v="3"/>
    <x v="2"/>
    <x v="3"/>
    <x v="0"/>
    <x v="7"/>
    <x v="4"/>
    <x v="6"/>
    <x v="3"/>
    <x v="2"/>
    <n v="1"/>
    <s v="03-08-25"/>
    <s v="03"/>
    <x v="3"/>
    <s v="25"/>
  </r>
  <r>
    <s v="ORD0010"/>
    <d v="2025-12-03T00:00:00"/>
    <x v="4"/>
    <x v="1"/>
    <x v="4"/>
    <x v="3"/>
    <x v="6"/>
    <x v="1"/>
    <x v="1"/>
    <x v="2"/>
    <x v="0"/>
    <n v="1"/>
    <s v="03-12-25"/>
    <s v="03"/>
    <x v="4"/>
    <s v="25"/>
  </r>
  <r>
    <s v="ORD0011"/>
    <s v="17-02-25"/>
    <x v="5"/>
    <x v="1"/>
    <x v="5"/>
    <x v="2"/>
    <x v="8"/>
    <x v="5"/>
    <x v="6"/>
    <x v="1"/>
    <x v="1"/>
    <n v="1"/>
    <s v="17-02-25"/>
    <s v="17"/>
    <x v="1"/>
    <s v="25"/>
  </r>
  <r>
    <s v="ORD0012"/>
    <s v="13-03-25"/>
    <x v="6"/>
    <x v="2"/>
    <x v="6"/>
    <x v="0"/>
    <x v="9"/>
    <x v="6"/>
    <x v="3"/>
    <x v="2"/>
    <x v="2"/>
    <n v="1"/>
    <s v="13-03-25"/>
    <s v="13"/>
    <x v="0"/>
    <s v="25"/>
  </r>
  <r>
    <s v="ORD0014"/>
    <d v="2025-04-03T00:00:00"/>
    <x v="7"/>
    <x v="3"/>
    <x v="7"/>
    <x v="0"/>
    <x v="10"/>
    <x v="6"/>
    <x v="5"/>
    <x v="2"/>
    <x v="0"/>
    <n v="1"/>
    <s v="03-04-25"/>
    <s v="03"/>
    <x v="5"/>
    <s v="25"/>
  </r>
  <r>
    <s v="ORD0015"/>
    <s v="20-02-25"/>
    <x v="2"/>
    <x v="1"/>
    <x v="2"/>
    <x v="1"/>
    <x v="5"/>
    <x v="2"/>
    <x v="7"/>
    <x v="2"/>
    <x v="2"/>
    <n v="1"/>
    <s v="20-02-25"/>
    <s v="20"/>
    <x v="1"/>
    <s v="25"/>
  </r>
  <r>
    <s v="ORD0016"/>
    <s v="26-02-25"/>
    <x v="8"/>
    <x v="3"/>
    <x v="2"/>
    <x v="3"/>
    <x v="11"/>
    <x v="2"/>
    <x v="6"/>
    <x v="2"/>
    <x v="0"/>
    <n v="1"/>
    <s v="26-02-25"/>
    <s v="26"/>
    <x v="1"/>
    <s v="25"/>
  </r>
  <r>
    <s v="ORD0017"/>
    <d v="2025-01-04T00:00:00"/>
    <x v="3"/>
    <x v="2"/>
    <x v="3"/>
    <x v="3"/>
    <x v="4"/>
    <x v="0"/>
    <x v="0"/>
    <x v="1"/>
    <x v="2"/>
    <n v="1"/>
    <s v="04-01-25"/>
    <s v="04"/>
    <x v="6"/>
    <s v="25"/>
  </r>
  <r>
    <s v="ORD0018"/>
    <d v="2025-10-02T00:00:00"/>
    <x v="4"/>
    <x v="1"/>
    <x v="4"/>
    <x v="2"/>
    <x v="12"/>
    <x v="6"/>
    <x v="8"/>
    <x v="1"/>
    <x v="2"/>
    <n v="1"/>
    <s v="02-10-25"/>
    <s v="02"/>
    <x v="2"/>
    <s v="25"/>
  </r>
  <r>
    <s v="ORD0019"/>
    <s v="22-03-25"/>
    <x v="0"/>
    <x v="0"/>
    <x v="0"/>
    <x v="0"/>
    <x v="0"/>
    <x v="3"/>
    <x v="4"/>
    <x v="2"/>
    <x v="2"/>
    <n v="1"/>
    <s v="22-03-25"/>
    <s v="22"/>
    <x v="0"/>
    <s v="25"/>
  </r>
  <r>
    <s v="ORD0020"/>
    <d v="2025-07-03T00:00:00"/>
    <x v="1"/>
    <x v="1"/>
    <x v="1"/>
    <x v="1"/>
    <x v="1"/>
    <x v="3"/>
    <x v="7"/>
    <x v="0"/>
    <x v="1"/>
    <n v="1"/>
    <s v="03-07-25"/>
    <s v="03"/>
    <x v="7"/>
    <s v="25"/>
  </r>
  <r>
    <s v="ORD0022"/>
    <d v="2025-07-03T00:00:00"/>
    <x v="8"/>
    <x v="3"/>
    <x v="8"/>
    <x v="1"/>
    <x v="13"/>
    <x v="3"/>
    <x v="4"/>
    <x v="2"/>
    <x v="1"/>
    <n v="1"/>
    <s v="03-07-25"/>
    <s v="03"/>
    <x v="7"/>
    <s v="25"/>
  </r>
  <r>
    <s v="ORD0023"/>
    <s v="23-02-25"/>
    <x v="5"/>
    <x v="4"/>
    <x v="5"/>
    <x v="3"/>
    <x v="14"/>
    <x v="0"/>
    <x v="4"/>
    <x v="2"/>
    <x v="1"/>
    <n v="1"/>
    <s v="23-02-25"/>
    <s v="23"/>
    <x v="1"/>
    <s v="25"/>
  </r>
  <r>
    <s v="ORD0024"/>
    <s v="24-03-25"/>
    <x v="8"/>
    <x v="3"/>
    <x v="8"/>
    <x v="0"/>
    <x v="15"/>
    <x v="7"/>
    <x v="3"/>
    <x v="2"/>
    <x v="0"/>
    <n v="1"/>
    <s v="24-03-25"/>
    <s v="24"/>
    <x v="0"/>
    <s v="25"/>
  </r>
  <r>
    <s v="ORD0025"/>
    <d v="2025-02-03T00:00:00"/>
    <x v="5"/>
    <x v="4"/>
    <x v="5"/>
    <x v="4"/>
    <x v="16"/>
    <x v="4"/>
    <x v="7"/>
    <x v="1"/>
    <x v="2"/>
    <n v="1"/>
    <s v="03-02-25"/>
    <s v="03"/>
    <x v="1"/>
    <s v="25"/>
  </r>
  <r>
    <s v="ORD0026"/>
    <s v="14-02-25"/>
    <x v="7"/>
    <x v="3"/>
    <x v="7"/>
    <x v="3"/>
    <x v="5"/>
    <x v="3"/>
    <x v="6"/>
    <x v="0"/>
    <x v="0"/>
    <n v="1"/>
    <s v="14-02-25"/>
    <s v="14"/>
    <x v="1"/>
    <s v="25"/>
  </r>
  <r>
    <s v="ORD0027"/>
    <d v="2025-07-02T00:00:00"/>
    <x v="3"/>
    <x v="1"/>
    <x v="3"/>
    <x v="0"/>
    <x v="4"/>
    <x v="8"/>
    <x v="0"/>
    <x v="1"/>
    <x v="1"/>
    <n v="1"/>
    <s v="02-07-25"/>
    <s v="02"/>
    <x v="7"/>
    <s v="25"/>
  </r>
  <r>
    <s v="ORD0028"/>
    <d v="2025-03-02T00:00:00"/>
    <x v="1"/>
    <x v="1"/>
    <x v="1"/>
    <x v="3"/>
    <x v="17"/>
    <x v="9"/>
    <x v="9"/>
    <x v="1"/>
    <x v="2"/>
    <n v="1"/>
    <s v="02-03-25"/>
    <s v="02"/>
    <x v="0"/>
    <s v="25"/>
  </r>
  <r>
    <s v="ORD0029"/>
    <d v="2025-12-02T00:00:00"/>
    <x v="4"/>
    <x v="1"/>
    <x v="4"/>
    <x v="3"/>
    <x v="6"/>
    <x v="4"/>
    <x v="2"/>
    <x v="2"/>
    <x v="0"/>
    <n v="1"/>
    <s v="02-12-25"/>
    <s v="02"/>
    <x v="4"/>
    <s v="25"/>
  </r>
  <r>
    <s v="ORD0030"/>
    <d v="2025-10-02T00:00:00"/>
    <x v="7"/>
    <x v="3"/>
    <x v="7"/>
    <x v="0"/>
    <x v="10"/>
    <x v="1"/>
    <x v="3"/>
    <x v="4"/>
    <x v="0"/>
    <n v="1"/>
    <s v="02-10-25"/>
    <s v="02"/>
    <x v="2"/>
    <s v="25"/>
  </r>
  <r>
    <s v="ORD0031"/>
    <s v="24-03-25"/>
    <x v="4"/>
    <x v="1"/>
    <x v="2"/>
    <x v="3"/>
    <x v="6"/>
    <x v="2"/>
    <x v="4"/>
    <x v="4"/>
    <x v="1"/>
    <n v="1"/>
    <s v="24-03-25"/>
    <s v="24"/>
    <x v="0"/>
    <s v="25"/>
  </r>
  <r>
    <s v="ORD0032"/>
    <d v="2025-10-03T00:00:00"/>
    <x v="4"/>
    <x v="1"/>
    <x v="4"/>
    <x v="1"/>
    <x v="18"/>
    <x v="6"/>
    <x v="7"/>
    <x v="3"/>
    <x v="1"/>
    <n v="1"/>
    <s v="03-10-25"/>
    <s v="03"/>
    <x v="2"/>
    <s v="25"/>
  </r>
  <r>
    <s v="ORD0034"/>
    <d v="2025-02-04T00:00:00"/>
    <x v="3"/>
    <x v="2"/>
    <x v="3"/>
    <x v="4"/>
    <x v="17"/>
    <x v="9"/>
    <x v="0"/>
    <x v="2"/>
    <x v="1"/>
    <n v="1"/>
    <s v="04-02-25"/>
    <s v="04"/>
    <x v="1"/>
    <s v="25"/>
  </r>
  <r>
    <s v="ORD0035"/>
    <d v="2025-02-04T00:00:00"/>
    <x v="9"/>
    <x v="1"/>
    <x v="9"/>
    <x v="0"/>
    <x v="19"/>
    <x v="0"/>
    <x v="2"/>
    <x v="1"/>
    <x v="2"/>
    <n v="1"/>
    <s v="04-02-25"/>
    <s v="04"/>
    <x v="1"/>
    <s v="25"/>
  </r>
  <r>
    <s v="ORD0036"/>
    <d v="2025-09-02T00:00:00"/>
    <x v="8"/>
    <x v="3"/>
    <x v="8"/>
    <x v="2"/>
    <x v="19"/>
    <x v="4"/>
    <x v="6"/>
    <x v="3"/>
    <x v="0"/>
    <n v="1"/>
    <s v="02-09-25"/>
    <s v="02"/>
    <x v="8"/>
    <s v="25"/>
  </r>
  <r>
    <s v="ORD0037"/>
    <s v="16-02-25"/>
    <x v="1"/>
    <x v="1"/>
    <x v="1"/>
    <x v="0"/>
    <x v="20"/>
    <x v="6"/>
    <x v="0"/>
    <x v="0"/>
    <x v="0"/>
    <n v="1"/>
    <s v="16-02-25"/>
    <s v="16"/>
    <x v="1"/>
    <s v="25"/>
  </r>
  <r>
    <s v="ORD0038"/>
    <s v="26-03-25"/>
    <x v="9"/>
    <x v="1"/>
    <x v="9"/>
    <x v="0"/>
    <x v="19"/>
    <x v="3"/>
    <x v="9"/>
    <x v="1"/>
    <x v="2"/>
    <n v="1"/>
    <s v="26-03-25"/>
    <s v="26"/>
    <x v="0"/>
    <s v="25"/>
  </r>
  <r>
    <s v="ORD0039"/>
    <d v="2025-02-03T00:00:00"/>
    <x v="9"/>
    <x v="1"/>
    <x v="9"/>
    <x v="2"/>
    <x v="21"/>
    <x v="3"/>
    <x v="1"/>
    <x v="3"/>
    <x v="2"/>
    <n v="1"/>
    <s v="03-02-25"/>
    <s v="03"/>
    <x v="1"/>
    <s v="25"/>
  </r>
  <r>
    <s v="ORD0040"/>
    <s v="26-03-25"/>
    <x v="2"/>
    <x v="1"/>
    <x v="2"/>
    <x v="3"/>
    <x v="22"/>
    <x v="1"/>
    <x v="7"/>
    <x v="4"/>
    <x v="1"/>
    <n v="1"/>
    <s v="26-03-25"/>
    <s v="26"/>
    <x v="0"/>
    <s v="25"/>
  </r>
  <r>
    <s v="ORD0041"/>
    <s v="20-02-25"/>
    <x v="5"/>
    <x v="4"/>
    <x v="5"/>
    <x v="3"/>
    <x v="14"/>
    <x v="9"/>
    <x v="5"/>
    <x v="2"/>
    <x v="0"/>
    <n v="1"/>
    <s v="20-02-25"/>
    <s v="20"/>
    <x v="1"/>
    <s v="25"/>
  </r>
  <r>
    <s v="ORD0043"/>
    <d v="2025-08-02T00:00:00"/>
    <x v="3"/>
    <x v="2"/>
    <x v="2"/>
    <x v="0"/>
    <x v="23"/>
    <x v="9"/>
    <x v="2"/>
    <x v="2"/>
    <x v="1"/>
    <n v="1"/>
    <s v="02-08-25"/>
    <s v="02"/>
    <x v="3"/>
    <s v="25"/>
  </r>
  <r>
    <s v="ORD0044"/>
    <s v="24-03-25"/>
    <x v="2"/>
    <x v="1"/>
    <x v="2"/>
    <x v="3"/>
    <x v="22"/>
    <x v="7"/>
    <x v="4"/>
    <x v="0"/>
    <x v="1"/>
    <n v="1"/>
    <s v="24-03-25"/>
    <s v="24"/>
    <x v="0"/>
    <s v="25"/>
  </r>
  <r>
    <s v="ORD0045"/>
    <s v="15-03-25"/>
    <x v="8"/>
    <x v="3"/>
    <x v="8"/>
    <x v="0"/>
    <x v="15"/>
    <x v="8"/>
    <x v="0"/>
    <x v="2"/>
    <x v="1"/>
    <n v="1"/>
    <s v="15-03-25"/>
    <s v="15"/>
    <x v="0"/>
    <s v="25"/>
  </r>
  <r>
    <s v="ORD0046"/>
    <d v="2025-06-03T00:00:00"/>
    <x v="0"/>
    <x v="0"/>
    <x v="0"/>
    <x v="2"/>
    <x v="2"/>
    <x v="5"/>
    <x v="4"/>
    <x v="0"/>
    <x v="0"/>
    <n v="1"/>
    <s v="03-06-25"/>
    <s v="03"/>
    <x v="9"/>
    <s v="25"/>
  </r>
  <r>
    <s v="ORD0047"/>
    <s v="26-03-25"/>
    <x v="3"/>
    <x v="2"/>
    <x v="3"/>
    <x v="2"/>
    <x v="24"/>
    <x v="7"/>
    <x v="5"/>
    <x v="4"/>
    <x v="0"/>
    <n v="1"/>
    <s v="26-03-25"/>
    <s v="26"/>
    <x v="0"/>
    <s v="25"/>
  </r>
  <r>
    <s v="ORD0048"/>
    <d v="2025-11-02T00:00:00"/>
    <x v="3"/>
    <x v="2"/>
    <x v="3"/>
    <x v="4"/>
    <x v="17"/>
    <x v="9"/>
    <x v="2"/>
    <x v="1"/>
    <x v="2"/>
    <n v="1"/>
    <s v="02-11-25"/>
    <s v="02"/>
    <x v="10"/>
    <s v="25"/>
  </r>
  <r>
    <s v="ORD0049"/>
    <s v="18-02-25"/>
    <x v="4"/>
    <x v="1"/>
    <x v="2"/>
    <x v="1"/>
    <x v="18"/>
    <x v="0"/>
    <x v="9"/>
    <x v="0"/>
    <x v="2"/>
    <n v="1"/>
    <s v="18-02-25"/>
    <s v="18"/>
    <x v="1"/>
    <s v="25"/>
  </r>
  <r>
    <s v="ORD0050"/>
    <s v="14-03-25"/>
    <x v="6"/>
    <x v="2"/>
    <x v="6"/>
    <x v="0"/>
    <x v="2"/>
    <x v="2"/>
    <x v="6"/>
    <x v="4"/>
    <x v="2"/>
    <n v="1"/>
    <s v="14-03-25"/>
    <s v="14"/>
    <x v="0"/>
    <s v="25"/>
  </r>
  <r>
    <s v="ORD0051"/>
    <s v="19-02-25"/>
    <x v="5"/>
    <x v="4"/>
    <x v="5"/>
    <x v="3"/>
    <x v="14"/>
    <x v="0"/>
    <x v="4"/>
    <x v="4"/>
    <x v="0"/>
    <n v="1"/>
    <s v="19-02-25"/>
    <s v="19"/>
    <x v="1"/>
    <s v="25"/>
  </r>
  <r>
    <s v="ORD0052"/>
    <s v="24-02-25"/>
    <x v="9"/>
    <x v="1"/>
    <x v="9"/>
    <x v="0"/>
    <x v="19"/>
    <x v="2"/>
    <x v="1"/>
    <x v="2"/>
    <x v="1"/>
    <n v="1"/>
    <s v="24-02-25"/>
    <s v="24"/>
    <x v="1"/>
    <s v="25"/>
  </r>
  <r>
    <s v="ORD0053"/>
    <s v="24-03-25"/>
    <x v="0"/>
    <x v="0"/>
    <x v="0"/>
    <x v="1"/>
    <x v="25"/>
    <x v="1"/>
    <x v="8"/>
    <x v="3"/>
    <x v="2"/>
    <n v="1"/>
    <s v="24-03-25"/>
    <s v="24"/>
    <x v="0"/>
    <s v="25"/>
  </r>
  <r>
    <s v="ORD0054"/>
    <s v="15-03-25"/>
    <x v="2"/>
    <x v="1"/>
    <x v="2"/>
    <x v="0"/>
    <x v="3"/>
    <x v="5"/>
    <x v="6"/>
    <x v="4"/>
    <x v="1"/>
    <n v="1"/>
    <s v="15-03-25"/>
    <s v="15"/>
    <x v="0"/>
    <s v="25"/>
  </r>
  <r>
    <s v="ORD0055"/>
    <s v="15-03-25"/>
    <x v="6"/>
    <x v="1"/>
    <x v="6"/>
    <x v="2"/>
    <x v="23"/>
    <x v="4"/>
    <x v="3"/>
    <x v="3"/>
    <x v="2"/>
    <n v="1"/>
    <s v="15-03-25"/>
    <s v="15"/>
    <x v="0"/>
    <s v="25"/>
  </r>
  <r>
    <s v="ORD0056"/>
    <s v="19-03-25"/>
    <x v="2"/>
    <x v="1"/>
    <x v="2"/>
    <x v="2"/>
    <x v="20"/>
    <x v="0"/>
    <x v="3"/>
    <x v="2"/>
    <x v="2"/>
    <n v="1"/>
    <s v="19-03-25"/>
    <s v="19"/>
    <x v="0"/>
    <s v="25"/>
  </r>
  <r>
    <s v="ORD0057"/>
    <s v="15-03-25"/>
    <x v="4"/>
    <x v="1"/>
    <x v="4"/>
    <x v="3"/>
    <x v="6"/>
    <x v="9"/>
    <x v="8"/>
    <x v="0"/>
    <x v="0"/>
    <n v="1"/>
    <s v="15-03-25"/>
    <s v="15"/>
    <x v="0"/>
    <s v="25"/>
  </r>
  <r>
    <s v="ORD0059"/>
    <d v="2025-01-04T00:00:00"/>
    <x v="2"/>
    <x v="1"/>
    <x v="2"/>
    <x v="2"/>
    <x v="20"/>
    <x v="8"/>
    <x v="3"/>
    <x v="2"/>
    <x v="0"/>
    <n v="1"/>
    <s v="04-01-25"/>
    <s v="04"/>
    <x v="6"/>
    <s v="25"/>
  </r>
  <r>
    <s v="ORD0060"/>
    <d v="2025-12-03T00:00:00"/>
    <x v="5"/>
    <x v="4"/>
    <x v="5"/>
    <x v="4"/>
    <x v="16"/>
    <x v="9"/>
    <x v="3"/>
    <x v="2"/>
    <x v="1"/>
    <n v="1"/>
    <s v="03-12-25"/>
    <s v="03"/>
    <x v="4"/>
    <s v="25"/>
  </r>
  <r>
    <s v="ORD0061"/>
    <d v="2025-11-03T00:00:00"/>
    <x v="8"/>
    <x v="3"/>
    <x v="2"/>
    <x v="0"/>
    <x v="11"/>
    <x v="9"/>
    <x v="0"/>
    <x v="3"/>
    <x v="0"/>
    <n v="1"/>
    <s v="03-11-25"/>
    <s v="03"/>
    <x v="10"/>
    <s v="25"/>
  </r>
  <r>
    <s v="ORD0062"/>
    <d v="2025-10-02T00:00:00"/>
    <x v="9"/>
    <x v="1"/>
    <x v="9"/>
    <x v="4"/>
    <x v="26"/>
    <x v="3"/>
    <x v="1"/>
    <x v="3"/>
    <x v="2"/>
    <n v="1"/>
    <s v="02-10-25"/>
    <s v="02"/>
    <x v="2"/>
    <s v="25"/>
  </r>
  <r>
    <s v="ORD0063"/>
    <s v="30-03-25"/>
    <x v="4"/>
    <x v="1"/>
    <x v="4"/>
    <x v="4"/>
    <x v="27"/>
    <x v="0"/>
    <x v="5"/>
    <x v="4"/>
    <x v="2"/>
    <n v="1"/>
    <s v="30-03-25"/>
    <s v="30"/>
    <x v="0"/>
    <s v="25"/>
  </r>
  <r>
    <s v="ORD0064"/>
    <s v="13-02-25"/>
    <x v="8"/>
    <x v="1"/>
    <x v="8"/>
    <x v="1"/>
    <x v="13"/>
    <x v="1"/>
    <x v="2"/>
    <x v="3"/>
    <x v="1"/>
    <n v="1"/>
    <s v="13-02-25"/>
    <s v="13"/>
    <x v="1"/>
    <s v="25"/>
  </r>
  <r>
    <s v="ORD0065"/>
    <s v="16-03-25"/>
    <x v="5"/>
    <x v="4"/>
    <x v="5"/>
    <x v="0"/>
    <x v="28"/>
    <x v="0"/>
    <x v="1"/>
    <x v="1"/>
    <x v="1"/>
    <n v="1"/>
    <s v="16-03-25"/>
    <s v="16"/>
    <x v="0"/>
    <s v="25"/>
  </r>
  <r>
    <s v="ORD0066"/>
    <s v="14-03-25"/>
    <x v="2"/>
    <x v="1"/>
    <x v="2"/>
    <x v="2"/>
    <x v="20"/>
    <x v="6"/>
    <x v="2"/>
    <x v="3"/>
    <x v="1"/>
    <n v="1"/>
    <s v="14-03-25"/>
    <s v="14"/>
    <x v="0"/>
    <s v="25"/>
  </r>
  <r>
    <s v="ORD0067"/>
    <s v="31-03-25"/>
    <x v="1"/>
    <x v="1"/>
    <x v="1"/>
    <x v="0"/>
    <x v="20"/>
    <x v="7"/>
    <x v="0"/>
    <x v="0"/>
    <x v="1"/>
    <n v="1"/>
    <s v="31-03-25"/>
    <s v="31"/>
    <x v="0"/>
    <s v="25"/>
  </r>
  <r>
    <s v="ORD0068"/>
    <s v="23-02-25"/>
    <x v="1"/>
    <x v="1"/>
    <x v="1"/>
    <x v="3"/>
    <x v="17"/>
    <x v="5"/>
    <x v="4"/>
    <x v="0"/>
    <x v="0"/>
    <n v="1"/>
    <s v="23-02-25"/>
    <s v="23"/>
    <x v="1"/>
    <s v="25"/>
  </r>
  <r>
    <s v="ORD0069"/>
    <s v="25-02-25"/>
    <x v="8"/>
    <x v="3"/>
    <x v="8"/>
    <x v="1"/>
    <x v="13"/>
    <x v="5"/>
    <x v="6"/>
    <x v="4"/>
    <x v="1"/>
    <n v="1"/>
    <s v="25-02-25"/>
    <s v="25"/>
    <x v="1"/>
    <s v="25"/>
  </r>
  <r>
    <s v="ORD0070"/>
    <d v="2025-10-03T00:00:00"/>
    <x v="5"/>
    <x v="4"/>
    <x v="2"/>
    <x v="3"/>
    <x v="14"/>
    <x v="1"/>
    <x v="6"/>
    <x v="2"/>
    <x v="2"/>
    <n v="1"/>
    <s v="03-10-25"/>
    <s v="03"/>
    <x v="2"/>
    <s v="25"/>
  </r>
  <r>
    <s v="ORD0071"/>
    <s v="16-03-25"/>
    <x v="2"/>
    <x v="1"/>
    <x v="2"/>
    <x v="4"/>
    <x v="29"/>
    <x v="2"/>
    <x v="2"/>
    <x v="2"/>
    <x v="1"/>
    <n v="1"/>
    <s v="16-03-25"/>
    <s v="16"/>
    <x v="0"/>
    <s v="25"/>
  </r>
  <r>
    <s v="ORD0072"/>
    <d v="2025-07-03T00:00:00"/>
    <x v="9"/>
    <x v="1"/>
    <x v="9"/>
    <x v="0"/>
    <x v="19"/>
    <x v="8"/>
    <x v="4"/>
    <x v="2"/>
    <x v="1"/>
    <n v="1"/>
    <s v="03-07-25"/>
    <s v="03"/>
    <x v="7"/>
    <s v="25"/>
  </r>
  <r>
    <s v="ORD0074"/>
    <s v="25-03-25"/>
    <x v="8"/>
    <x v="3"/>
    <x v="8"/>
    <x v="1"/>
    <x v="13"/>
    <x v="9"/>
    <x v="3"/>
    <x v="4"/>
    <x v="0"/>
    <n v="1"/>
    <s v="25-03-25"/>
    <s v="25"/>
    <x v="0"/>
    <s v="25"/>
  </r>
  <r>
    <s v="ORD0075"/>
    <s v="26-02-25"/>
    <x v="1"/>
    <x v="1"/>
    <x v="1"/>
    <x v="2"/>
    <x v="30"/>
    <x v="8"/>
    <x v="6"/>
    <x v="3"/>
    <x v="1"/>
    <n v="1"/>
    <s v="26-02-25"/>
    <s v="26"/>
    <x v="1"/>
    <s v="25"/>
  </r>
  <r>
    <s v="ORD0076"/>
    <s v="24-02-25"/>
    <x v="7"/>
    <x v="1"/>
    <x v="7"/>
    <x v="3"/>
    <x v="5"/>
    <x v="9"/>
    <x v="3"/>
    <x v="1"/>
    <x v="2"/>
    <n v="1"/>
    <s v="24-02-25"/>
    <s v="24"/>
    <x v="1"/>
    <s v="25"/>
  </r>
  <r>
    <s v="ORD0077"/>
    <s v="20-03-25"/>
    <x v="1"/>
    <x v="1"/>
    <x v="1"/>
    <x v="2"/>
    <x v="30"/>
    <x v="8"/>
    <x v="4"/>
    <x v="2"/>
    <x v="2"/>
    <n v="1"/>
    <s v="20-03-25"/>
    <s v="20"/>
    <x v="0"/>
    <s v="25"/>
  </r>
  <r>
    <s v="ORD0078"/>
    <s v="18-03-25"/>
    <x v="2"/>
    <x v="1"/>
    <x v="2"/>
    <x v="2"/>
    <x v="20"/>
    <x v="0"/>
    <x v="8"/>
    <x v="4"/>
    <x v="0"/>
    <n v="1"/>
    <s v="18-03-25"/>
    <s v="18"/>
    <x v="0"/>
    <s v="25"/>
  </r>
  <r>
    <s v="ORD0079"/>
    <d v="2025-09-03T00:00:00"/>
    <x v="0"/>
    <x v="0"/>
    <x v="0"/>
    <x v="0"/>
    <x v="2"/>
    <x v="1"/>
    <x v="2"/>
    <x v="4"/>
    <x v="0"/>
    <n v="1"/>
    <s v="03-09-25"/>
    <s v="03"/>
    <x v="8"/>
    <s v="25"/>
  </r>
  <r>
    <s v="ORD0080"/>
    <s v="23-02-25"/>
    <x v="0"/>
    <x v="0"/>
    <x v="0"/>
    <x v="1"/>
    <x v="25"/>
    <x v="4"/>
    <x v="1"/>
    <x v="0"/>
    <x v="1"/>
    <n v="1"/>
    <s v="23-02-25"/>
    <s v="23"/>
    <x v="1"/>
    <s v="25"/>
  </r>
  <r>
    <s v="ORD0081"/>
    <s v="26-02-25"/>
    <x v="1"/>
    <x v="1"/>
    <x v="1"/>
    <x v="0"/>
    <x v="20"/>
    <x v="6"/>
    <x v="9"/>
    <x v="3"/>
    <x v="0"/>
    <n v="1"/>
    <s v="26-02-25"/>
    <s v="26"/>
    <x v="1"/>
    <s v="25"/>
  </r>
  <r>
    <s v="ORD0082"/>
    <s v="24-02-25"/>
    <x v="4"/>
    <x v="1"/>
    <x v="4"/>
    <x v="0"/>
    <x v="31"/>
    <x v="9"/>
    <x v="7"/>
    <x v="0"/>
    <x v="0"/>
    <n v="1"/>
    <s v="24-02-25"/>
    <s v="24"/>
    <x v="1"/>
    <s v="25"/>
  </r>
  <r>
    <s v="ORD0083"/>
    <s v="28-02-25"/>
    <x v="7"/>
    <x v="3"/>
    <x v="7"/>
    <x v="1"/>
    <x v="19"/>
    <x v="0"/>
    <x v="4"/>
    <x v="4"/>
    <x v="0"/>
    <n v="1"/>
    <s v="28-02-25"/>
    <s v="28"/>
    <x v="1"/>
    <s v="25"/>
  </r>
  <r>
    <s v="ORD0084"/>
    <s v="14-02-25"/>
    <x v="3"/>
    <x v="2"/>
    <x v="3"/>
    <x v="4"/>
    <x v="17"/>
    <x v="3"/>
    <x v="6"/>
    <x v="3"/>
    <x v="2"/>
    <n v="1"/>
    <s v="14-02-25"/>
    <s v="14"/>
    <x v="1"/>
    <s v="25"/>
  </r>
  <r>
    <s v="ORD0086"/>
    <s v="25-02-25"/>
    <x v="2"/>
    <x v="1"/>
    <x v="2"/>
    <x v="4"/>
    <x v="29"/>
    <x v="9"/>
    <x v="3"/>
    <x v="3"/>
    <x v="0"/>
    <n v="1"/>
    <s v="25-02-25"/>
    <s v="25"/>
    <x v="1"/>
    <s v="25"/>
  </r>
  <r>
    <s v="ORD0088"/>
    <d v="2025-06-02T00:00:00"/>
    <x v="8"/>
    <x v="3"/>
    <x v="8"/>
    <x v="2"/>
    <x v="19"/>
    <x v="7"/>
    <x v="7"/>
    <x v="0"/>
    <x v="1"/>
    <n v="1"/>
    <s v="02-06-25"/>
    <s v="02"/>
    <x v="9"/>
    <s v="25"/>
  </r>
  <r>
    <s v="ORD0089"/>
    <s v="26-03-25"/>
    <x v="0"/>
    <x v="0"/>
    <x v="0"/>
    <x v="4"/>
    <x v="20"/>
    <x v="0"/>
    <x v="8"/>
    <x v="2"/>
    <x v="0"/>
    <n v="1"/>
    <s v="26-03-25"/>
    <s v="26"/>
    <x v="0"/>
    <s v="25"/>
  </r>
  <r>
    <s v="ORD0090"/>
    <s v="24-03-25"/>
    <x v="2"/>
    <x v="1"/>
    <x v="2"/>
    <x v="4"/>
    <x v="29"/>
    <x v="1"/>
    <x v="4"/>
    <x v="1"/>
    <x v="2"/>
    <n v="1"/>
    <s v="24-03-25"/>
    <s v="24"/>
    <x v="0"/>
    <s v="25"/>
  </r>
  <r>
    <s v="ORD0091"/>
    <d v="2025-03-02T00:00:00"/>
    <x v="9"/>
    <x v="1"/>
    <x v="2"/>
    <x v="1"/>
    <x v="32"/>
    <x v="8"/>
    <x v="4"/>
    <x v="4"/>
    <x v="1"/>
    <n v="1"/>
    <s v="02-03-25"/>
    <s v="02"/>
    <x v="0"/>
    <s v="25"/>
  </r>
  <r>
    <s v="ORD0092"/>
    <s v="15-03-25"/>
    <x v="4"/>
    <x v="1"/>
    <x v="4"/>
    <x v="2"/>
    <x v="12"/>
    <x v="3"/>
    <x v="6"/>
    <x v="3"/>
    <x v="0"/>
    <n v="1"/>
    <s v="15-03-25"/>
    <s v="15"/>
    <x v="0"/>
    <s v="25"/>
  </r>
  <r>
    <s v="ORD0093"/>
    <d v="2025-06-03T00:00:00"/>
    <x v="8"/>
    <x v="3"/>
    <x v="8"/>
    <x v="4"/>
    <x v="33"/>
    <x v="5"/>
    <x v="2"/>
    <x v="3"/>
    <x v="0"/>
    <n v="1"/>
    <s v="03-06-25"/>
    <s v="03"/>
    <x v="9"/>
    <s v="25"/>
  </r>
  <r>
    <s v="ORD0094"/>
    <s v="25-03-25"/>
    <x v="6"/>
    <x v="2"/>
    <x v="6"/>
    <x v="4"/>
    <x v="30"/>
    <x v="8"/>
    <x v="7"/>
    <x v="2"/>
    <x v="0"/>
    <n v="1"/>
    <s v="25-03-25"/>
    <s v="25"/>
    <x v="0"/>
    <s v="25"/>
  </r>
  <r>
    <s v="ORD0095"/>
    <s v="17-02-25"/>
    <x v="2"/>
    <x v="1"/>
    <x v="2"/>
    <x v="1"/>
    <x v="5"/>
    <x v="7"/>
    <x v="0"/>
    <x v="0"/>
    <x v="0"/>
    <n v="1"/>
    <s v="17-02-25"/>
    <s v="17"/>
    <x v="1"/>
    <s v="25"/>
  </r>
  <r>
    <s v="ORD0096"/>
    <s v="30-03-25"/>
    <x v="2"/>
    <x v="1"/>
    <x v="2"/>
    <x v="0"/>
    <x v="3"/>
    <x v="9"/>
    <x v="0"/>
    <x v="1"/>
    <x v="2"/>
    <n v="1"/>
    <s v="30-03-25"/>
    <s v="30"/>
    <x v="0"/>
    <s v="25"/>
  </r>
  <r>
    <s v="ORD0098"/>
    <s v="14-02-25"/>
    <x v="2"/>
    <x v="1"/>
    <x v="2"/>
    <x v="2"/>
    <x v="20"/>
    <x v="7"/>
    <x v="5"/>
    <x v="3"/>
    <x v="1"/>
    <n v="1"/>
    <s v="14-02-25"/>
    <s v="14"/>
    <x v="1"/>
    <s v="25"/>
  </r>
  <r>
    <s v="ORD0099"/>
    <s v="18-02-25"/>
    <x v="7"/>
    <x v="3"/>
    <x v="7"/>
    <x v="4"/>
    <x v="34"/>
    <x v="6"/>
    <x v="7"/>
    <x v="0"/>
    <x v="2"/>
    <n v="1"/>
    <s v="18-02-25"/>
    <s v="18"/>
    <x v="1"/>
    <s v="25"/>
  </r>
  <r>
    <s v="ORD0100"/>
    <s v="13-02-25"/>
    <x v="0"/>
    <x v="0"/>
    <x v="0"/>
    <x v="3"/>
    <x v="7"/>
    <x v="9"/>
    <x v="4"/>
    <x v="4"/>
    <x v="0"/>
    <n v="1"/>
    <s v="13-02-25"/>
    <s v="13"/>
    <x v="1"/>
    <s v="25"/>
  </r>
  <r>
    <s v="ORD0101"/>
    <s v="20-02-25"/>
    <x v="5"/>
    <x v="4"/>
    <x v="5"/>
    <x v="4"/>
    <x v="16"/>
    <x v="2"/>
    <x v="2"/>
    <x v="3"/>
    <x v="1"/>
    <n v="1"/>
    <s v="20-02-25"/>
    <s v="20"/>
    <x v="1"/>
    <s v="25"/>
  </r>
  <r>
    <s v="ORD0103"/>
    <s v="14-03-25"/>
    <x v="3"/>
    <x v="2"/>
    <x v="3"/>
    <x v="2"/>
    <x v="24"/>
    <x v="6"/>
    <x v="9"/>
    <x v="3"/>
    <x v="1"/>
    <n v="1"/>
    <s v="14-03-25"/>
    <s v="14"/>
    <x v="0"/>
    <s v="25"/>
  </r>
  <r>
    <s v="ORD0104"/>
    <s v="22-02-25"/>
    <x v="6"/>
    <x v="2"/>
    <x v="6"/>
    <x v="4"/>
    <x v="30"/>
    <x v="9"/>
    <x v="3"/>
    <x v="0"/>
    <x v="1"/>
    <n v="1"/>
    <s v="22-02-25"/>
    <s v="22"/>
    <x v="1"/>
    <s v="25"/>
  </r>
  <r>
    <s v="ORD0105"/>
    <s v="16-03-25"/>
    <x v="6"/>
    <x v="2"/>
    <x v="6"/>
    <x v="3"/>
    <x v="24"/>
    <x v="9"/>
    <x v="6"/>
    <x v="0"/>
    <x v="1"/>
    <n v="1"/>
    <s v="16-03-25"/>
    <s v="16"/>
    <x v="0"/>
    <s v="25"/>
  </r>
  <r>
    <s v="ORD0106"/>
    <s v="15-03-25"/>
    <x v="3"/>
    <x v="2"/>
    <x v="2"/>
    <x v="0"/>
    <x v="7"/>
    <x v="3"/>
    <x v="9"/>
    <x v="3"/>
    <x v="1"/>
    <n v="1"/>
    <s v="15-03-25"/>
    <s v="15"/>
    <x v="0"/>
    <s v="25"/>
  </r>
  <r>
    <s v="ORD0107"/>
    <s v="19-03-25"/>
    <x v="6"/>
    <x v="2"/>
    <x v="6"/>
    <x v="0"/>
    <x v="2"/>
    <x v="3"/>
    <x v="3"/>
    <x v="2"/>
    <x v="0"/>
    <n v="1"/>
    <s v="19-03-25"/>
    <s v="19"/>
    <x v="0"/>
    <s v="25"/>
  </r>
  <r>
    <s v="ORD0108"/>
    <s v="16-03-25"/>
    <x v="1"/>
    <x v="1"/>
    <x v="1"/>
    <x v="2"/>
    <x v="30"/>
    <x v="8"/>
    <x v="5"/>
    <x v="3"/>
    <x v="1"/>
    <n v="1"/>
    <s v="16-03-25"/>
    <s v="16"/>
    <x v="0"/>
    <s v="25"/>
  </r>
  <r>
    <s v="ORD0109"/>
    <s v="17-03-25"/>
    <x v="6"/>
    <x v="1"/>
    <x v="6"/>
    <x v="4"/>
    <x v="30"/>
    <x v="6"/>
    <x v="0"/>
    <x v="3"/>
    <x v="2"/>
    <n v="1"/>
    <s v="17-03-25"/>
    <s v="17"/>
    <x v="0"/>
    <s v="25"/>
  </r>
  <r>
    <s v="ORD0110"/>
    <s v="18-02-25"/>
    <x v="4"/>
    <x v="1"/>
    <x v="4"/>
    <x v="4"/>
    <x v="27"/>
    <x v="3"/>
    <x v="3"/>
    <x v="1"/>
    <x v="1"/>
    <n v="1"/>
    <s v="18-02-25"/>
    <s v="18"/>
    <x v="1"/>
    <s v="25"/>
  </r>
  <r>
    <s v="ORD0111"/>
    <s v="31-03-25"/>
    <x v="9"/>
    <x v="1"/>
    <x v="9"/>
    <x v="1"/>
    <x v="32"/>
    <x v="0"/>
    <x v="8"/>
    <x v="2"/>
    <x v="2"/>
    <n v="1"/>
    <s v="31-03-25"/>
    <s v="31"/>
    <x v="0"/>
    <s v="25"/>
  </r>
  <r>
    <s v="ORD0113"/>
    <s v="19-03-25"/>
    <x v="5"/>
    <x v="4"/>
    <x v="5"/>
    <x v="4"/>
    <x v="16"/>
    <x v="5"/>
    <x v="1"/>
    <x v="0"/>
    <x v="1"/>
    <n v="1"/>
    <s v="19-03-25"/>
    <s v="19"/>
    <x v="0"/>
    <s v="25"/>
  </r>
  <r>
    <s v="ORD0114"/>
    <s v="23-02-25"/>
    <x v="0"/>
    <x v="0"/>
    <x v="0"/>
    <x v="3"/>
    <x v="7"/>
    <x v="0"/>
    <x v="4"/>
    <x v="2"/>
    <x v="1"/>
    <n v="1"/>
    <s v="23-02-25"/>
    <s v="23"/>
    <x v="1"/>
    <s v="25"/>
  </r>
  <r>
    <s v="ORD0115"/>
    <s v="21-03-25"/>
    <x v="0"/>
    <x v="0"/>
    <x v="0"/>
    <x v="0"/>
    <x v="0"/>
    <x v="3"/>
    <x v="5"/>
    <x v="1"/>
    <x v="2"/>
    <n v="1"/>
    <s v="21-03-25"/>
    <s v="21"/>
    <x v="0"/>
    <s v="25"/>
  </r>
  <r>
    <s v="ORD0116"/>
    <s v="19-03-25"/>
    <x v="9"/>
    <x v="1"/>
    <x v="9"/>
    <x v="1"/>
    <x v="32"/>
    <x v="0"/>
    <x v="8"/>
    <x v="1"/>
    <x v="2"/>
    <n v="1"/>
    <s v="19-03-25"/>
    <s v="19"/>
    <x v="0"/>
    <s v="25"/>
  </r>
  <r>
    <s v="ORD0119"/>
    <s v="16-03-25"/>
    <x v="4"/>
    <x v="1"/>
    <x v="4"/>
    <x v="2"/>
    <x v="12"/>
    <x v="7"/>
    <x v="9"/>
    <x v="3"/>
    <x v="1"/>
    <n v="1"/>
    <s v="16-03-25"/>
    <s v="16"/>
    <x v="0"/>
    <s v="25"/>
  </r>
  <r>
    <s v="ORD0120"/>
    <s v="16-02-25"/>
    <x v="9"/>
    <x v="1"/>
    <x v="9"/>
    <x v="4"/>
    <x v="26"/>
    <x v="1"/>
    <x v="2"/>
    <x v="3"/>
    <x v="2"/>
    <n v="1"/>
    <s v="16-02-25"/>
    <s v="16"/>
    <x v="1"/>
    <s v="25"/>
  </r>
  <r>
    <s v="ORD0121"/>
    <s v="18-02-25"/>
    <x v="4"/>
    <x v="1"/>
    <x v="2"/>
    <x v="3"/>
    <x v="6"/>
    <x v="2"/>
    <x v="3"/>
    <x v="4"/>
    <x v="1"/>
    <n v="1"/>
    <s v="18-02-25"/>
    <s v="18"/>
    <x v="1"/>
    <s v="25"/>
  </r>
  <r>
    <s v="ORD0122"/>
    <s v="28-03-25"/>
    <x v="9"/>
    <x v="1"/>
    <x v="9"/>
    <x v="0"/>
    <x v="19"/>
    <x v="2"/>
    <x v="5"/>
    <x v="2"/>
    <x v="0"/>
    <n v="1"/>
    <s v="28-03-25"/>
    <s v="28"/>
    <x v="0"/>
    <s v="25"/>
  </r>
  <r>
    <s v="ORD0123"/>
    <s v="23-02-25"/>
    <x v="5"/>
    <x v="4"/>
    <x v="5"/>
    <x v="0"/>
    <x v="28"/>
    <x v="7"/>
    <x v="6"/>
    <x v="4"/>
    <x v="0"/>
    <n v="1"/>
    <s v="23-02-25"/>
    <s v="23"/>
    <x v="1"/>
    <s v="25"/>
  </r>
  <r>
    <s v="ORD0124"/>
    <d v="2025-10-02T00:00:00"/>
    <x v="5"/>
    <x v="1"/>
    <x v="5"/>
    <x v="3"/>
    <x v="14"/>
    <x v="0"/>
    <x v="7"/>
    <x v="4"/>
    <x v="1"/>
    <n v="1"/>
    <s v="02-10-25"/>
    <s v="02"/>
    <x v="2"/>
    <s v="25"/>
  </r>
  <r>
    <s v="ORD0125"/>
    <s v="23-02-25"/>
    <x v="4"/>
    <x v="1"/>
    <x v="4"/>
    <x v="3"/>
    <x v="6"/>
    <x v="1"/>
    <x v="2"/>
    <x v="1"/>
    <x v="2"/>
    <n v="1"/>
    <s v="23-02-25"/>
    <s v="23"/>
    <x v="1"/>
    <s v="25"/>
  </r>
  <r>
    <s v="ORD0126"/>
    <d v="2025-04-02T00:00:00"/>
    <x v="8"/>
    <x v="3"/>
    <x v="8"/>
    <x v="4"/>
    <x v="33"/>
    <x v="3"/>
    <x v="9"/>
    <x v="4"/>
    <x v="1"/>
    <n v="1"/>
    <s v="02-04-25"/>
    <s v="02"/>
    <x v="5"/>
    <s v="25"/>
  </r>
  <r>
    <s v="ORD0127"/>
    <s v="18-02-25"/>
    <x v="3"/>
    <x v="2"/>
    <x v="3"/>
    <x v="0"/>
    <x v="7"/>
    <x v="0"/>
    <x v="3"/>
    <x v="0"/>
    <x v="2"/>
    <n v="1"/>
    <s v="18-02-25"/>
    <s v="18"/>
    <x v="1"/>
    <s v="25"/>
  </r>
  <r>
    <s v="ORD0128"/>
    <s v="23-03-25"/>
    <x v="2"/>
    <x v="1"/>
    <x v="2"/>
    <x v="2"/>
    <x v="20"/>
    <x v="1"/>
    <x v="3"/>
    <x v="3"/>
    <x v="0"/>
    <n v="1"/>
    <s v="23-03-25"/>
    <s v="23"/>
    <x v="0"/>
    <s v="25"/>
  </r>
  <r>
    <s v="ORD0129"/>
    <s v="26-02-25"/>
    <x v="6"/>
    <x v="2"/>
    <x v="6"/>
    <x v="4"/>
    <x v="30"/>
    <x v="1"/>
    <x v="0"/>
    <x v="0"/>
    <x v="1"/>
    <n v="1"/>
    <s v="26-02-25"/>
    <s v="26"/>
    <x v="1"/>
    <s v="25"/>
  </r>
  <r>
    <s v="ORD0130"/>
    <d v="2025-10-02T00:00:00"/>
    <x v="2"/>
    <x v="1"/>
    <x v="2"/>
    <x v="4"/>
    <x v="29"/>
    <x v="5"/>
    <x v="6"/>
    <x v="3"/>
    <x v="2"/>
    <n v="1"/>
    <s v="02-10-25"/>
    <s v="02"/>
    <x v="2"/>
    <s v="25"/>
  </r>
  <r>
    <s v="ORD0133"/>
    <s v="23-02-25"/>
    <x v="9"/>
    <x v="1"/>
    <x v="9"/>
    <x v="3"/>
    <x v="35"/>
    <x v="1"/>
    <x v="0"/>
    <x v="1"/>
    <x v="1"/>
    <n v="1"/>
    <s v="23-02-25"/>
    <s v="23"/>
    <x v="1"/>
    <s v="25"/>
  </r>
  <r>
    <s v="ORD0134"/>
    <d v="2025-07-02T00:00:00"/>
    <x v="4"/>
    <x v="1"/>
    <x v="4"/>
    <x v="4"/>
    <x v="27"/>
    <x v="5"/>
    <x v="9"/>
    <x v="4"/>
    <x v="1"/>
    <n v="1"/>
    <s v="02-07-25"/>
    <s v="02"/>
    <x v="7"/>
    <s v="25"/>
  </r>
  <r>
    <s v="ORD0135"/>
    <d v="2025-10-02T00:00:00"/>
    <x v="3"/>
    <x v="2"/>
    <x v="3"/>
    <x v="3"/>
    <x v="4"/>
    <x v="3"/>
    <x v="5"/>
    <x v="2"/>
    <x v="1"/>
    <n v="1"/>
    <s v="02-10-25"/>
    <s v="02"/>
    <x v="2"/>
    <s v="25"/>
  </r>
  <r>
    <s v="ORD0136"/>
    <d v="2025-11-02T00:00:00"/>
    <x v="8"/>
    <x v="3"/>
    <x v="8"/>
    <x v="2"/>
    <x v="19"/>
    <x v="8"/>
    <x v="1"/>
    <x v="3"/>
    <x v="0"/>
    <n v="1"/>
    <s v="02-11-25"/>
    <s v="02"/>
    <x v="10"/>
    <s v="25"/>
  </r>
  <r>
    <s v="ORD0137"/>
    <s v="20-03-25"/>
    <x v="2"/>
    <x v="1"/>
    <x v="2"/>
    <x v="0"/>
    <x v="3"/>
    <x v="4"/>
    <x v="1"/>
    <x v="0"/>
    <x v="2"/>
    <n v="1"/>
    <s v="20-03-25"/>
    <s v="20"/>
    <x v="0"/>
    <s v="25"/>
  </r>
  <r>
    <s v="ORD0138"/>
    <d v="2025-11-02T00:00:00"/>
    <x v="2"/>
    <x v="1"/>
    <x v="2"/>
    <x v="4"/>
    <x v="29"/>
    <x v="2"/>
    <x v="8"/>
    <x v="2"/>
    <x v="0"/>
    <n v="1"/>
    <s v="02-11-25"/>
    <s v="02"/>
    <x v="10"/>
    <s v="25"/>
  </r>
  <r>
    <s v="ORD0139"/>
    <s v="18-03-25"/>
    <x v="9"/>
    <x v="1"/>
    <x v="9"/>
    <x v="0"/>
    <x v="21"/>
    <x v="6"/>
    <x v="2"/>
    <x v="3"/>
    <x v="0"/>
    <n v="1"/>
    <s v="18-03-25"/>
    <s v="18"/>
    <x v="0"/>
    <s v="25"/>
  </r>
  <r>
    <s v="ORD0140"/>
    <s v="19-03-25"/>
    <x v="2"/>
    <x v="1"/>
    <x v="2"/>
    <x v="2"/>
    <x v="20"/>
    <x v="3"/>
    <x v="5"/>
    <x v="0"/>
    <x v="2"/>
    <n v="1"/>
    <s v="19-03-25"/>
    <s v="19"/>
    <x v="0"/>
    <s v="25"/>
  </r>
  <r>
    <s v="ORD0141"/>
    <s v="21-03-25"/>
    <x v="4"/>
    <x v="1"/>
    <x v="4"/>
    <x v="2"/>
    <x v="12"/>
    <x v="2"/>
    <x v="5"/>
    <x v="3"/>
    <x v="2"/>
    <n v="1"/>
    <s v="21-03-25"/>
    <s v="21"/>
    <x v="0"/>
    <s v="25"/>
  </r>
  <r>
    <s v="ORD0142"/>
    <s v="15-03-25"/>
    <x v="4"/>
    <x v="1"/>
    <x v="4"/>
    <x v="0"/>
    <x v="31"/>
    <x v="4"/>
    <x v="5"/>
    <x v="4"/>
    <x v="2"/>
    <n v="1"/>
    <s v="15-03-25"/>
    <s v="15"/>
    <x v="0"/>
    <s v="25"/>
  </r>
  <r>
    <s v="ORD0144"/>
    <s v="27-02-25"/>
    <x v="6"/>
    <x v="2"/>
    <x v="6"/>
    <x v="2"/>
    <x v="23"/>
    <x v="6"/>
    <x v="8"/>
    <x v="4"/>
    <x v="0"/>
    <n v="1"/>
    <s v="27-02-25"/>
    <s v="27"/>
    <x v="1"/>
    <s v="25"/>
  </r>
  <r>
    <s v="ORD0145"/>
    <d v="2025-08-03T00:00:00"/>
    <x v="2"/>
    <x v="1"/>
    <x v="2"/>
    <x v="2"/>
    <x v="20"/>
    <x v="6"/>
    <x v="7"/>
    <x v="0"/>
    <x v="0"/>
    <n v="1"/>
    <s v="03-08-25"/>
    <s v="03"/>
    <x v="3"/>
    <s v="25"/>
  </r>
  <r>
    <s v="ORD0146"/>
    <s v="25-03-25"/>
    <x v="2"/>
    <x v="1"/>
    <x v="2"/>
    <x v="2"/>
    <x v="20"/>
    <x v="0"/>
    <x v="6"/>
    <x v="0"/>
    <x v="2"/>
    <n v="1"/>
    <s v="25-03-25"/>
    <s v="25"/>
    <x v="0"/>
    <s v="25"/>
  </r>
  <r>
    <s v="ORD0148"/>
    <d v="2025-06-02T00:00:00"/>
    <x v="1"/>
    <x v="1"/>
    <x v="1"/>
    <x v="1"/>
    <x v="1"/>
    <x v="1"/>
    <x v="8"/>
    <x v="1"/>
    <x v="0"/>
    <n v="1"/>
    <s v="02-06-25"/>
    <s v="02"/>
    <x v="9"/>
    <s v="25"/>
  </r>
  <r>
    <s v="ORD0149"/>
    <s v="20-03-25"/>
    <x v="0"/>
    <x v="0"/>
    <x v="0"/>
    <x v="0"/>
    <x v="0"/>
    <x v="6"/>
    <x v="0"/>
    <x v="4"/>
    <x v="1"/>
    <n v="1"/>
    <s v="20-03-25"/>
    <s v="20"/>
    <x v="0"/>
    <s v="25"/>
  </r>
  <r>
    <s v="ORD0150"/>
    <d v="2025-08-02T00:00:00"/>
    <x v="5"/>
    <x v="4"/>
    <x v="5"/>
    <x v="1"/>
    <x v="7"/>
    <x v="8"/>
    <x v="9"/>
    <x v="4"/>
    <x v="0"/>
    <n v="1"/>
    <s v="02-08-25"/>
    <s v="02"/>
    <x v="3"/>
    <s v="25"/>
  </r>
  <r>
    <s v="ORD0151"/>
    <s v="29-03-25"/>
    <x v="7"/>
    <x v="3"/>
    <x v="7"/>
    <x v="0"/>
    <x v="19"/>
    <x v="9"/>
    <x v="8"/>
    <x v="1"/>
    <x v="1"/>
    <n v="1"/>
    <s v="29-03-25"/>
    <s v="29"/>
    <x v="0"/>
    <s v="25"/>
  </r>
  <r>
    <s v="ORD0152"/>
    <s v="28-02-25"/>
    <x v="2"/>
    <x v="1"/>
    <x v="2"/>
    <x v="3"/>
    <x v="22"/>
    <x v="2"/>
    <x v="7"/>
    <x v="4"/>
    <x v="2"/>
    <n v="1"/>
    <s v="28-02-25"/>
    <s v="28"/>
    <x v="1"/>
    <s v="25"/>
  </r>
  <r>
    <s v="ORD0153"/>
    <s v="23-02-25"/>
    <x v="2"/>
    <x v="1"/>
    <x v="2"/>
    <x v="4"/>
    <x v="29"/>
    <x v="4"/>
    <x v="1"/>
    <x v="3"/>
    <x v="1"/>
    <n v="1"/>
    <s v="23-02-25"/>
    <s v="23"/>
    <x v="1"/>
    <s v="25"/>
  </r>
  <r>
    <s v="ORD0154"/>
    <d v="2025-01-03T00:00:00"/>
    <x v="1"/>
    <x v="1"/>
    <x v="1"/>
    <x v="2"/>
    <x v="30"/>
    <x v="2"/>
    <x v="2"/>
    <x v="0"/>
    <x v="2"/>
    <n v="1"/>
    <s v="03-01-25"/>
    <s v="03"/>
    <x v="6"/>
    <s v="25"/>
  </r>
  <r>
    <s v="ORD0156"/>
    <s v="16-03-25"/>
    <x v="2"/>
    <x v="1"/>
    <x v="2"/>
    <x v="1"/>
    <x v="5"/>
    <x v="3"/>
    <x v="5"/>
    <x v="3"/>
    <x v="0"/>
    <n v="1"/>
    <s v="16-03-25"/>
    <s v="16"/>
    <x v="0"/>
    <s v="25"/>
  </r>
  <r>
    <s v="ORD0157"/>
    <d v="2025-08-02T00:00:00"/>
    <x v="4"/>
    <x v="1"/>
    <x v="2"/>
    <x v="0"/>
    <x v="31"/>
    <x v="4"/>
    <x v="2"/>
    <x v="2"/>
    <x v="1"/>
    <n v="1"/>
    <s v="02-08-25"/>
    <s v="02"/>
    <x v="3"/>
    <s v="25"/>
  </r>
  <r>
    <s v="ORD0158"/>
    <s v="24-02-25"/>
    <x v="9"/>
    <x v="1"/>
    <x v="9"/>
    <x v="0"/>
    <x v="19"/>
    <x v="7"/>
    <x v="5"/>
    <x v="0"/>
    <x v="1"/>
    <n v="1"/>
    <s v="24-02-25"/>
    <s v="24"/>
    <x v="1"/>
    <s v="25"/>
  </r>
  <r>
    <s v="ORD0160"/>
    <d v="2025-06-02T00:00:00"/>
    <x v="7"/>
    <x v="3"/>
    <x v="7"/>
    <x v="0"/>
    <x v="10"/>
    <x v="3"/>
    <x v="2"/>
    <x v="4"/>
    <x v="0"/>
    <n v="1"/>
    <s v="02-06-25"/>
    <s v="02"/>
    <x v="9"/>
    <s v="25"/>
  </r>
  <r>
    <s v="ORD0161"/>
    <s v="22-02-25"/>
    <x v="1"/>
    <x v="1"/>
    <x v="1"/>
    <x v="3"/>
    <x v="17"/>
    <x v="1"/>
    <x v="8"/>
    <x v="2"/>
    <x v="2"/>
    <n v="1"/>
    <s v="22-02-25"/>
    <s v="22"/>
    <x v="1"/>
    <s v="25"/>
  </r>
  <r>
    <s v="ORD0162"/>
    <d v="2025-09-02T00:00:00"/>
    <x v="4"/>
    <x v="1"/>
    <x v="4"/>
    <x v="2"/>
    <x v="12"/>
    <x v="3"/>
    <x v="9"/>
    <x v="2"/>
    <x v="2"/>
    <n v="1"/>
    <s v="02-09-25"/>
    <s v="02"/>
    <x v="8"/>
    <s v="25"/>
  </r>
  <r>
    <s v="ORD0163"/>
    <s v="20-02-25"/>
    <x v="0"/>
    <x v="0"/>
    <x v="0"/>
    <x v="2"/>
    <x v="2"/>
    <x v="7"/>
    <x v="4"/>
    <x v="3"/>
    <x v="2"/>
    <n v="1"/>
    <s v="20-02-25"/>
    <s v="20"/>
    <x v="1"/>
    <s v="25"/>
  </r>
  <r>
    <s v="ORD0164"/>
    <s v="25-02-25"/>
    <x v="2"/>
    <x v="1"/>
    <x v="2"/>
    <x v="4"/>
    <x v="29"/>
    <x v="6"/>
    <x v="6"/>
    <x v="0"/>
    <x v="1"/>
    <n v="1"/>
    <s v="25-02-25"/>
    <s v="25"/>
    <x v="1"/>
    <s v="25"/>
  </r>
  <r>
    <s v="ORD0165"/>
    <s v="14-03-25"/>
    <x v="5"/>
    <x v="4"/>
    <x v="5"/>
    <x v="3"/>
    <x v="14"/>
    <x v="5"/>
    <x v="0"/>
    <x v="1"/>
    <x v="1"/>
    <n v="1"/>
    <s v="14-03-25"/>
    <s v="14"/>
    <x v="0"/>
    <s v="25"/>
  </r>
  <r>
    <s v="ORD0166"/>
    <s v="30-03-25"/>
    <x v="7"/>
    <x v="3"/>
    <x v="7"/>
    <x v="0"/>
    <x v="19"/>
    <x v="7"/>
    <x v="4"/>
    <x v="2"/>
    <x v="1"/>
    <n v="1"/>
    <s v="30-03-25"/>
    <s v="30"/>
    <x v="0"/>
    <s v="25"/>
  </r>
  <r>
    <s v="ORD0168"/>
    <s v="24-03-25"/>
    <x v="9"/>
    <x v="1"/>
    <x v="9"/>
    <x v="4"/>
    <x v="26"/>
    <x v="6"/>
    <x v="5"/>
    <x v="0"/>
    <x v="1"/>
    <n v="1"/>
    <s v="24-03-25"/>
    <s v="24"/>
    <x v="0"/>
    <s v="25"/>
  </r>
  <r>
    <s v="ORD0169"/>
    <d v="2025-06-03T00:00:00"/>
    <x v="8"/>
    <x v="1"/>
    <x v="2"/>
    <x v="2"/>
    <x v="19"/>
    <x v="2"/>
    <x v="2"/>
    <x v="3"/>
    <x v="2"/>
    <n v="1"/>
    <s v="03-06-25"/>
    <s v="03"/>
    <x v="9"/>
    <s v="25"/>
  </r>
  <r>
    <s v="ORD0170"/>
    <s v="28-02-25"/>
    <x v="9"/>
    <x v="1"/>
    <x v="9"/>
    <x v="3"/>
    <x v="35"/>
    <x v="0"/>
    <x v="1"/>
    <x v="4"/>
    <x v="1"/>
    <n v="1"/>
    <s v="28-02-25"/>
    <s v="28"/>
    <x v="1"/>
    <s v="25"/>
  </r>
  <r>
    <s v="ORD0171"/>
    <s v="28-02-25"/>
    <x v="2"/>
    <x v="1"/>
    <x v="2"/>
    <x v="2"/>
    <x v="20"/>
    <x v="8"/>
    <x v="4"/>
    <x v="3"/>
    <x v="2"/>
    <n v="1"/>
    <s v="28-02-25"/>
    <s v="28"/>
    <x v="1"/>
    <s v="25"/>
  </r>
  <r>
    <s v="ORD0172"/>
    <d v="2025-12-03T00:00:00"/>
    <x v="5"/>
    <x v="4"/>
    <x v="5"/>
    <x v="3"/>
    <x v="14"/>
    <x v="5"/>
    <x v="5"/>
    <x v="0"/>
    <x v="0"/>
    <n v="1"/>
    <s v="03-12-25"/>
    <s v="03"/>
    <x v="4"/>
    <s v="25"/>
  </r>
  <r>
    <s v="ORD0173"/>
    <s v="28-02-25"/>
    <x v="8"/>
    <x v="3"/>
    <x v="8"/>
    <x v="3"/>
    <x v="11"/>
    <x v="3"/>
    <x v="7"/>
    <x v="3"/>
    <x v="2"/>
    <n v="1"/>
    <s v="28-02-25"/>
    <s v="28"/>
    <x v="1"/>
    <s v="25"/>
  </r>
  <r>
    <s v="ORD0174"/>
    <s v="13-03-25"/>
    <x v="2"/>
    <x v="1"/>
    <x v="2"/>
    <x v="2"/>
    <x v="20"/>
    <x v="5"/>
    <x v="9"/>
    <x v="0"/>
    <x v="1"/>
    <n v="1"/>
    <s v="13-03-25"/>
    <s v="13"/>
    <x v="0"/>
    <s v="25"/>
  </r>
  <r>
    <s v="ORD0176"/>
    <s v="27-03-25"/>
    <x v="5"/>
    <x v="4"/>
    <x v="5"/>
    <x v="3"/>
    <x v="14"/>
    <x v="6"/>
    <x v="6"/>
    <x v="1"/>
    <x v="2"/>
    <n v="1"/>
    <s v="27-03-25"/>
    <s v="27"/>
    <x v="0"/>
    <s v="25"/>
  </r>
  <r>
    <s v="ORD0177"/>
    <s v="14-03-25"/>
    <x v="5"/>
    <x v="4"/>
    <x v="5"/>
    <x v="4"/>
    <x v="16"/>
    <x v="5"/>
    <x v="1"/>
    <x v="2"/>
    <x v="1"/>
    <n v="1"/>
    <s v="14-03-25"/>
    <s v="14"/>
    <x v="0"/>
    <s v="25"/>
  </r>
  <r>
    <s v="ORD0178"/>
    <d v="2025-06-02T00:00:00"/>
    <x v="4"/>
    <x v="1"/>
    <x v="4"/>
    <x v="0"/>
    <x v="31"/>
    <x v="1"/>
    <x v="9"/>
    <x v="3"/>
    <x v="2"/>
    <n v="1"/>
    <s v="02-06-25"/>
    <s v="02"/>
    <x v="9"/>
    <s v="25"/>
  </r>
  <r>
    <s v="ORD0180"/>
    <d v="2025-04-03T00:00:00"/>
    <x v="8"/>
    <x v="3"/>
    <x v="8"/>
    <x v="0"/>
    <x v="15"/>
    <x v="5"/>
    <x v="6"/>
    <x v="4"/>
    <x v="2"/>
    <n v="1"/>
    <s v="03-04-25"/>
    <s v="03"/>
    <x v="5"/>
    <s v="25"/>
  </r>
  <r>
    <s v="ORD0181"/>
    <d v="2025-03-03T00:00:00"/>
    <x v="0"/>
    <x v="1"/>
    <x v="0"/>
    <x v="2"/>
    <x v="2"/>
    <x v="5"/>
    <x v="8"/>
    <x v="0"/>
    <x v="0"/>
    <n v="1"/>
    <s v="03-03-25"/>
    <s v="03"/>
    <x v="0"/>
    <s v="25"/>
  </r>
  <r>
    <s v="ORD0182"/>
    <d v="2025-02-04T00:00:00"/>
    <x v="3"/>
    <x v="2"/>
    <x v="3"/>
    <x v="4"/>
    <x v="17"/>
    <x v="0"/>
    <x v="2"/>
    <x v="3"/>
    <x v="2"/>
    <n v="1"/>
    <s v="04-02-25"/>
    <s v="04"/>
    <x v="1"/>
    <s v="25"/>
  </r>
  <r>
    <s v="ORD0183"/>
    <s v="25-03-25"/>
    <x v="7"/>
    <x v="3"/>
    <x v="7"/>
    <x v="3"/>
    <x v="5"/>
    <x v="0"/>
    <x v="7"/>
    <x v="0"/>
    <x v="1"/>
    <n v="1"/>
    <s v="25-03-25"/>
    <s v="25"/>
    <x v="0"/>
    <s v="25"/>
  </r>
  <r>
    <s v="ORD0184"/>
    <s v="17-02-25"/>
    <x v="5"/>
    <x v="4"/>
    <x v="2"/>
    <x v="4"/>
    <x v="16"/>
    <x v="8"/>
    <x v="5"/>
    <x v="0"/>
    <x v="1"/>
    <n v="1"/>
    <s v="17-02-25"/>
    <s v="17"/>
    <x v="1"/>
    <s v="25"/>
  </r>
  <r>
    <s v="ORD0185"/>
    <s v="22-03-25"/>
    <x v="3"/>
    <x v="2"/>
    <x v="3"/>
    <x v="3"/>
    <x v="4"/>
    <x v="7"/>
    <x v="3"/>
    <x v="0"/>
    <x v="2"/>
    <n v="1"/>
    <s v="22-03-25"/>
    <s v="22"/>
    <x v="0"/>
    <s v="25"/>
  </r>
  <r>
    <s v="ORD0186"/>
    <d v="2025-02-03T00:00:00"/>
    <x v="7"/>
    <x v="3"/>
    <x v="7"/>
    <x v="1"/>
    <x v="19"/>
    <x v="6"/>
    <x v="0"/>
    <x v="3"/>
    <x v="2"/>
    <n v="1"/>
    <s v="03-02-25"/>
    <s v="03"/>
    <x v="1"/>
    <s v="25"/>
  </r>
  <r>
    <s v="ORD0187"/>
    <s v="13-03-25"/>
    <x v="9"/>
    <x v="1"/>
    <x v="9"/>
    <x v="0"/>
    <x v="19"/>
    <x v="2"/>
    <x v="0"/>
    <x v="3"/>
    <x v="1"/>
    <n v="1"/>
    <s v="13-03-25"/>
    <s v="13"/>
    <x v="0"/>
    <s v="25"/>
  </r>
  <r>
    <s v="ORD0188"/>
    <s v="14-02-25"/>
    <x v="5"/>
    <x v="4"/>
    <x v="5"/>
    <x v="3"/>
    <x v="14"/>
    <x v="2"/>
    <x v="6"/>
    <x v="1"/>
    <x v="2"/>
    <n v="1"/>
    <s v="14-02-25"/>
    <s v="14"/>
    <x v="1"/>
    <s v="25"/>
  </r>
  <r>
    <s v="ORD0189"/>
    <d v="2025-10-02T00:00:00"/>
    <x v="9"/>
    <x v="1"/>
    <x v="9"/>
    <x v="0"/>
    <x v="19"/>
    <x v="9"/>
    <x v="4"/>
    <x v="1"/>
    <x v="2"/>
    <n v="1"/>
    <s v="02-10-25"/>
    <s v="02"/>
    <x v="2"/>
    <s v="25"/>
  </r>
  <r>
    <s v="ORD0192"/>
    <s v="31-03-25"/>
    <x v="1"/>
    <x v="1"/>
    <x v="1"/>
    <x v="0"/>
    <x v="20"/>
    <x v="4"/>
    <x v="3"/>
    <x v="4"/>
    <x v="1"/>
    <n v="1"/>
    <s v="31-03-25"/>
    <s v="31"/>
    <x v="0"/>
    <s v="25"/>
  </r>
  <r>
    <s v="ORD0193"/>
    <s v="30-03-25"/>
    <x v="5"/>
    <x v="4"/>
    <x v="5"/>
    <x v="4"/>
    <x v="16"/>
    <x v="5"/>
    <x v="9"/>
    <x v="1"/>
    <x v="1"/>
    <n v="1"/>
    <s v="30-03-25"/>
    <s v="30"/>
    <x v="0"/>
    <s v="25"/>
  </r>
  <r>
    <s v="ORD0194"/>
    <s v="20-02-25"/>
    <x v="6"/>
    <x v="2"/>
    <x v="6"/>
    <x v="1"/>
    <x v="9"/>
    <x v="2"/>
    <x v="1"/>
    <x v="0"/>
    <x v="0"/>
    <n v="1"/>
    <s v="20-02-25"/>
    <s v="20"/>
    <x v="1"/>
    <s v="25"/>
  </r>
  <r>
    <s v="ORD0195"/>
    <d v="2025-10-03T00:00:00"/>
    <x v="4"/>
    <x v="1"/>
    <x v="4"/>
    <x v="0"/>
    <x v="31"/>
    <x v="3"/>
    <x v="2"/>
    <x v="4"/>
    <x v="0"/>
    <n v="1"/>
    <s v="03-10-25"/>
    <s v="03"/>
    <x v="2"/>
    <s v="25"/>
  </r>
  <r>
    <s v="ORD0196"/>
    <d v="2025-04-03T00:00:00"/>
    <x v="1"/>
    <x v="1"/>
    <x v="1"/>
    <x v="4"/>
    <x v="6"/>
    <x v="8"/>
    <x v="7"/>
    <x v="0"/>
    <x v="1"/>
    <n v="1"/>
    <s v="03-04-25"/>
    <s v="03"/>
    <x v="5"/>
    <s v="25"/>
  </r>
  <r>
    <s v="ORD0197"/>
    <d v="2025-12-03T00:00:00"/>
    <x v="0"/>
    <x v="0"/>
    <x v="0"/>
    <x v="2"/>
    <x v="2"/>
    <x v="6"/>
    <x v="2"/>
    <x v="4"/>
    <x v="2"/>
    <n v="1"/>
    <s v="03-12-25"/>
    <s v="03"/>
    <x v="4"/>
    <s v="25"/>
  </r>
  <r>
    <s v="ORD0198"/>
    <s v="20-02-25"/>
    <x v="9"/>
    <x v="1"/>
    <x v="9"/>
    <x v="1"/>
    <x v="32"/>
    <x v="9"/>
    <x v="7"/>
    <x v="1"/>
    <x v="1"/>
    <n v="1"/>
    <s v="20-02-25"/>
    <s v="20"/>
    <x v="1"/>
    <s v="25"/>
  </r>
  <r>
    <s v="ORD0199"/>
    <s v="22-02-25"/>
    <x v="4"/>
    <x v="1"/>
    <x v="2"/>
    <x v="0"/>
    <x v="31"/>
    <x v="7"/>
    <x v="3"/>
    <x v="2"/>
    <x v="2"/>
    <n v="1"/>
    <s v="22-02-25"/>
    <s v="22"/>
    <x v="1"/>
    <s v="25"/>
  </r>
  <r>
    <s v="ORD0200"/>
    <d v="2025-10-02T00:00:00"/>
    <x v="5"/>
    <x v="4"/>
    <x v="5"/>
    <x v="2"/>
    <x v="8"/>
    <x v="7"/>
    <x v="8"/>
    <x v="0"/>
    <x v="2"/>
    <n v="1"/>
    <s v="02-10-25"/>
    <s v="02"/>
    <x v="2"/>
    <s v="25"/>
  </r>
  <r>
    <s v="ORD0201"/>
    <d v="2025-03-02T00:00:00"/>
    <x v="5"/>
    <x v="4"/>
    <x v="5"/>
    <x v="1"/>
    <x v="7"/>
    <x v="6"/>
    <x v="1"/>
    <x v="2"/>
    <x v="2"/>
    <n v="1"/>
    <s v="02-03-25"/>
    <s v="02"/>
    <x v="0"/>
    <s v="25"/>
  </r>
  <r>
    <s v="ORD0202"/>
    <s v="21-02-25"/>
    <x v="4"/>
    <x v="1"/>
    <x v="4"/>
    <x v="2"/>
    <x v="12"/>
    <x v="8"/>
    <x v="5"/>
    <x v="2"/>
    <x v="0"/>
    <n v="1"/>
    <s v="21-02-25"/>
    <s v="21"/>
    <x v="1"/>
    <s v="25"/>
  </r>
  <r>
    <s v="ORD0204"/>
    <d v="2025-08-03T00:00:00"/>
    <x v="0"/>
    <x v="0"/>
    <x v="0"/>
    <x v="4"/>
    <x v="20"/>
    <x v="9"/>
    <x v="5"/>
    <x v="4"/>
    <x v="1"/>
    <n v="1"/>
    <s v="03-08-25"/>
    <s v="03"/>
    <x v="3"/>
    <s v="25"/>
  </r>
  <r>
    <s v="ORD0206"/>
    <d v="2025-12-02T00:00:00"/>
    <x v="7"/>
    <x v="3"/>
    <x v="7"/>
    <x v="4"/>
    <x v="34"/>
    <x v="0"/>
    <x v="5"/>
    <x v="1"/>
    <x v="1"/>
    <n v="1"/>
    <s v="02-12-25"/>
    <s v="02"/>
    <x v="4"/>
    <s v="25"/>
  </r>
  <r>
    <s v="ORD0207"/>
    <s v="21-03-25"/>
    <x v="7"/>
    <x v="3"/>
    <x v="7"/>
    <x v="3"/>
    <x v="5"/>
    <x v="2"/>
    <x v="5"/>
    <x v="2"/>
    <x v="2"/>
    <n v="1"/>
    <s v="21-03-25"/>
    <s v="21"/>
    <x v="0"/>
    <s v="25"/>
  </r>
  <r>
    <s v="ORD0208"/>
    <d v="2025-02-02T00:00:00"/>
    <x v="8"/>
    <x v="3"/>
    <x v="8"/>
    <x v="0"/>
    <x v="15"/>
    <x v="2"/>
    <x v="5"/>
    <x v="3"/>
    <x v="2"/>
    <n v="1"/>
    <s v="02-02-25"/>
    <s v="02"/>
    <x v="1"/>
    <s v="25"/>
  </r>
  <r>
    <s v="ORD0209"/>
    <s v="29-03-25"/>
    <x v="6"/>
    <x v="2"/>
    <x v="6"/>
    <x v="4"/>
    <x v="30"/>
    <x v="8"/>
    <x v="3"/>
    <x v="3"/>
    <x v="2"/>
    <n v="1"/>
    <s v="29-03-25"/>
    <s v="29"/>
    <x v="0"/>
    <s v="25"/>
  </r>
  <r>
    <s v="ORD0210"/>
    <s v="23-03-25"/>
    <x v="9"/>
    <x v="1"/>
    <x v="9"/>
    <x v="0"/>
    <x v="19"/>
    <x v="9"/>
    <x v="0"/>
    <x v="3"/>
    <x v="2"/>
    <n v="1"/>
    <s v="23-03-25"/>
    <s v="23"/>
    <x v="0"/>
    <s v="25"/>
  </r>
  <r>
    <s v="ORD0211"/>
    <s v="13-03-25"/>
    <x v="4"/>
    <x v="1"/>
    <x v="4"/>
    <x v="3"/>
    <x v="6"/>
    <x v="5"/>
    <x v="5"/>
    <x v="4"/>
    <x v="1"/>
    <n v="1"/>
    <s v="13-03-25"/>
    <s v="13"/>
    <x v="0"/>
    <s v="25"/>
  </r>
  <r>
    <s v="ORD0212"/>
    <d v="2025-09-03T00:00:00"/>
    <x v="3"/>
    <x v="2"/>
    <x v="3"/>
    <x v="1"/>
    <x v="23"/>
    <x v="0"/>
    <x v="4"/>
    <x v="0"/>
    <x v="2"/>
    <n v="1"/>
    <s v="03-09-25"/>
    <s v="03"/>
    <x v="8"/>
    <s v="25"/>
  </r>
  <r>
    <s v="ORD0214"/>
    <s v="18-02-25"/>
    <x v="2"/>
    <x v="1"/>
    <x v="2"/>
    <x v="4"/>
    <x v="29"/>
    <x v="1"/>
    <x v="4"/>
    <x v="0"/>
    <x v="2"/>
    <n v="1"/>
    <s v="18-02-25"/>
    <s v="18"/>
    <x v="1"/>
    <s v="25"/>
  </r>
  <r>
    <s v="ORD0215"/>
    <d v="2025-07-03T00:00:00"/>
    <x v="0"/>
    <x v="0"/>
    <x v="0"/>
    <x v="3"/>
    <x v="7"/>
    <x v="0"/>
    <x v="4"/>
    <x v="3"/>
    <x v="2"/>
    <n v="1"/>
    <s v="03-07-25"/>
    <s v="03"/>
    <x v="7"/>
    <s v="25"/>
  </r>
  <r>
    <s v="ORD0216"/>
    <s v="26-03-25"/>
    <x v="6"/>
    <x v="2"/>
    <x v="6"/>
    <x v="2"/>
    <x v="23"/>
    <x v="7"/>
    <x v="9"/>
    <x v="2"/>
    <x v="2"/>
    <n v="1"/>
    <s v="26-03-25"/>
    <s v="26"/>
    <x v="0"/>
    <s v="25"/>
  </r>
  <r>
    <s v="ORD0217"/>
    <s v="19-03-25"/>
    <x v="0"/>
    <x v="0"/>
    <x v="0"/>
    <x v="2"/>
    <x v="2"/>
    <x v="0"/>
    <x v="6"/>
    <x v="4"/>
    <x v="1"/>
    <n v="1"/>
    <s v="19-03-25"/>
    <s v="19"/>
    <x v="0"/>
    <s v="25"/>
  </r>
  <r>
    <s v="ORD0218"/>
    <s v="15-02-25"/>
    <x v="1"/>
    <x v="1"/>
    <x v="1"/>
    <x v="1"/>
    <x v="1"/>
    <x v="8"/>
    <x v="0"/>
    <x v="4"/>
    <x v="0"/>
    <n v="1"/>
    <s v="15-02-25"/>
    <s v="15"/>
    <x v="1"/>
    <s v="25"/>
  </r>
  <r>
    <s v="ORD0219"/>
    <s v="17-02-25"/>
    <x v="1"/>
    <x v="1"/>
    <x v="1"/>
    <x v="0"/>
    <x v="20"/>
    <x v="5"/>
    <x v="4"/>
    <x v="3"/>
    <x v="0"/>
    <n v="1"/>
    <s v="17-02-25"/>
    <s v="17"/>
    <x v="1"/>
    <s v="25"/>
  </r>
  <r>
    <s v="ORD0220"/>
    <d v="2025-10-02T00:00:00"/>
    <x v="2"/>
    <x v="1"/>
    <x v="2"/>
    <x v="0"/>
    <x v="3"/>
    <x v="6"/>
    <x v="2"/>
    <x v="0"/>
    <x v="2"/>
    <n v="1"/>
    <s v="02-10-25"/>
    <s v="02"/>
    <x v="2"/>
    <s v="25"/>
  </r>
  <r>
    <s v="ORD0222"/>
    <s v="16-02-25"/>
    <x v="7"/>
    <x v="3"/>
    <x v="7"/>
    <x v="2"/>
    <x v="11"/>
    <x v="7"/>
    <x v="7"/>
    <x v="3"/>
    <x v="0"/>
    <n v="1"/>
    <s v="16-02-25"/>
    <s v="16"/>
    <x v="1"/>
    <s v="25"/>
  </r>
  <r>
    <s v="ORD0223"/>
    <s v="24-03-25"/>
    <x v="6"/>
    <x v="2"/>
    <x v="6"/>
    <x v="0"/>
    <x v="23"/>
    <x v="5"/>
    <x v="2"/>
    <x v="1"/>
    <x v="0"/>
    <n v="1"/>
    <s v="24-03-25"/>
    <s v="24"/>
    <x v="0"/>
    <s v="25"/>
  </r>
  <r>
    <s v="ORD0224"/>
    <s v="18-03-25"/>
    <x v="8"/>
    <x v="3"/>
    <x v="8"/>
    <x v="3"/>
    <x v="11"/>
    <x v="9"/>
    <x v="5"/>
    <x v="3"/>
    <x v="2"/>
    <n v="1"/>
    <s v="18-03-25"/>
    <s v="18"/>
    <x v="0"/>
    <s v="25"/>
  </r>
  <r>
    <s v="ORD0226"/>
    <d v="2025-05-03T00:00:00"/>
    <x v="0"/>
    <x v="0"/>
    <x v="0"/>
    <x v="0"/>
    <x v="25"/>
    <x v="7"/>
    <x v="9"/>
    <x v="1"/>
    <x v="2"/>
    <n v="1"/>
    <s v="03-05-25"/>
    <s v="03"/>
    <x v="11"/>
    <s v="25"/>
  </r>
  <r>
    <s v="ORD0227"/>
    <d v="2025-02-04T00:00:00"/>
    <x v="1"/>
    <x v="1"/>
    <x v="1"/>
    <x v="4"/>
    <x v="6"/>
    <x v="0"/>
    <x v="5"/>
    <x v="1"/>
    <x v="0"/>
    <n v="1"/>
    <s v="04-02-25"/>
    <s v="04"/>
    <x v="1"/>
    <s v="25"/>
  </r>
  <r>
    <s v="ORD0228"/>
    <d v="2025-12-02T00:00:00"/>
    <x v="0"/>
    <x v="0"/>
    <x v="0"/>
    <x v="3"/>
    <x v="7"/>
    <x v="5"/>
    <x v="1"/>
    <x v="2"/>
    <x v="1"/>
    <n v="1"/>
    <s v="02-12-25"/>
    <s v="02"/>
    <x v="4"/>
    <s v="25"/>
  </r>
  <r>
    <s v="ORD0229"/>
    <s v="21-03-25"/>
    <x v="0"/>
    <x v="0"/>
    <x v="0"/>
    <x v="0"/>
    <x v="0"/>
    <x v="0"/>
    <x v="1"/>
    <x v="2"/>
    <x v="1"/>
    <n v="1"/>
    <s v="21-03-25"/>
    <s v="21"/>
    <x v="0"/>
    <s v="25"/>
  </r>
  <r>
    <s v="ORD0230"/>
    <s v="31-03-25"/>
    <x v="1"/>
    <x v="1"/>
    <x v="1"/>
    <x v="1"/>
    <x v="1"/>
    <x v="9"/>
    <x v="1"/>
    <x v="1"/>
    <x v="1"/>
    <n v="1"/>
    <s v="31-03-25"/>
    <s v="31"/>
    <x v="0"/>
    <s v="25"/>
  </r>
  <r>
    <s v="ORD0231"/>
    <s v="16-02-25"/>
    <x v="9"/>
    <x v="1"/>
    <x v="9"/>
    <x v="4"/>
    <x v="26"/>
    <x v="9"/>
    <x v="6"/>
    <x v="2"/>
    <x v="0"/>
    <n v="1"/>
    <s v="16-02-25"/>
    <s v="16"/>
    <x v="1"/>
    <s v="25"/>
  </r>
  <r>
    <s v="ORD0232"/>
    <s v="14-03-25"/>
    <x v="8"/>
    <x v="3"/>
    <x v="8"/>
    <x v="0"/>
    <x v="15"/>
    <x v="0"/>
    <x v="8"/>
    <x v="2"/>
    <x v="2"/>
    <n v="1"/>
    <s v="14-03-25"/>
    <s v="14"/>
    <x v="0"/>
    <s v="25"/>
  </r>
  <r>
    <s v="ORD0233"/>
    <s v="20-02-25"/>
    <x v="0"/>
    <x v="0"/>
    <x v="0"/>
    <x v="3"/>
    <x v="7"/>
    <x v="5"/>
    <x v="6"/>
    <x v="3"/>
    <x v="0"/>
    <n v="1"/>
    <s v="20-02-25"/>
    <s v="20"/>
    <x v="1"/>
    <s v="25"/>
  </r>
  <r>
    <s v="ORD0234"/>
    <d v="2025-08-03T00:00:00"/>
    <x v="5"/>
    <x v="4"/>
    <x v="5"/>
    <x v="3"/>
    <x v="14"/>
    <x v="9"/>
    <x v="5"/>
    <x v="1"/>
    <x v="0"/>
    <n v="1"/>
    <s v="03-08-25"/>
    <s v="03"/>
    <x v="3"/>
    <s v="25"/>
  </r>
  <r>
    <s v="ORD0235"/>
    <s v="23-03-25"/>
    <x v="8"/>
    <x v="3"/>
    <x v="8"/>
    <x v="3"/>
    <x v="11"/>
    <x v="8"/>
    <x v="3"/>
    <x v="3"/>
    <x v="2"/>
    <n v="1"/>
    <s v="23-03-25"/>
    <s v="23"/>
    <x v="0"/>
    <s v="25"/>
  </r>
  <r>
    <s v="ORD0236"/>
    <d v="2025-05-03T00:00:00"/>
    <x v="4"/>
    <x v="1"/>
    <x v="4"/>
    <x v="4"/>
    <x v="27"/>
    <x v="2"/>
    <x v="6"/>
    <x v="3"/>
    <x v="2"/>
    <n v="1"/>
    <s v="03-05-25"/>
    <s v="03"/>
    <x v="11"/>
    <s v="25"/>
  </r>
  <r>
    <s v="ORD0237"/>
    <d v="2025-11-02T00:00:00"/>
    <x v="1"/>
    <x v="1"/>
    <x v="1"/>
    <x v="0"/>
    <x v="20"/>
    <x v="6"/>
    <x v="4"/>
    <x v="0"/>
    <x v="0"/>
    <n v="1"/>
    <s v="02-11-25"/>
    <s v="02"/>
    <x v="10"/>
    <s v="25"/>
  </r>
  <r>
    <s v="ORD0238"/>
    <s v="16-03-25"/>
    <x v="1"/>
    <x v="1"/>
    <x v="1"/>
    <x v="0"/>
    <x v="17"/>
    <x v="3"/>
    <x v="2"/>
    <x v="3"/>
    <x v="2"/>
    <n v="1"/>
    <s v="16-03-25"/>
    <s v="16"/>
    <x v="0"/>
    <s v="25"/>
  </r>
  <r>
    <s v="ORD0241"/>
    <s v="30-03-25"/>
    <x v="4"/>
    <x v="1"/>
    <x v="4"/>
    <x v="1"/>
    <x v="18"/>
    <x v="3"/>
    <x v="0"/>
    <x v="2"/>
    <x v="1"/>
    <n v="1"/>
    <s v="30-03-25"/>
    <s v="30"/>
    <x v="0"/>
    <s v="25"/>
  </r>
  <r>
    <s v="ORD0242"/>
    <d v="2025-08-03T00:00:00"/>
    <x v="4"/>
    <x v="1"/>
    <x v="4"/>
    <x v="1"/>
    <x v="18"/>
    <x v="7"/>
    <x v="6"/>
    <x v="4"/>
    <x v="1"/>
    <n v="1"/>
    <s v="03-08-25"/>
    <s v="03"/>
    <x v="3"/>
    <s v="25"/>
  </r>
  <r>
    <s v="ORD0243"/>
    <d v="2025-05-03T00:00:00"/>
    <x v="0"/>
    <x v="0"/>
    <x v="0"/>
    <x v="2"/>
    <x v="2"/>
    <x v="7"/>
    <x v="4"/>
    <x v="1"/>
    <x v="2"/>
    <n v="1"/>
    <s v="03-05-25"/>
    <s v="03"/>
    <x v="11"/>
    <s v="25"/>
  </r>
  <r>
    <s v="ORD0244"/>
    <d v="2025-06-02T00:00:00"/>
    <x v="4"/>
    <x v="1"/>
    <x v="4"/>
    <x v="1"/>
    <x v="18"/>
    <x v="0"/>
    <x v="4"/>
    <x v="2"/>
    <x v="2"/>
    <n v="1"/>
    <s v="02-06-25"/>
    <s v="02"/>
    <x v="9"/>
    <s v="25"/>
  </r>
  <r>
    <s v="ORD0245"/>
    <d v="2025-04-02T00:00:00"/>
    <x v="9"/>
    <x v="1"/>
    <x v="9"/>
    <x v="3"/>
    <x v="35"/>
    <x v="6"/>
    <x v="8"/>
    <x v="2"/>
    <x v="0"/>
    <n v="1"/>
    <s v="02-04-25"/>
    <s v="02"/>
    <x v="5"/>
    <s v="25"/>
  </r>
  <r>
    <s v="ORD0246"/>
    <s v="17-03-25"/>
    <x v="3"/>
    <x v="2"/>
    <x v="3"/>
    <x v="2"/>
    <x v="24"/>
    <x v="8"/>
    <x v="5"/>
    <x v="0"/>
    <x v="0"/>
    <n v="1"/>
    <s v="17-03-25"/>
    <s v="17"/>
    <x v="0"/>
    <s v="25"/>
  </r>
  <r>
    <s v="ORD0247"/>
    <s v="30-03-25"/>
    <x v="6"/>
    <x v="2"/>
    <x v="6"/>
    <x v="3"/>
    <x v="24"/>
    <x v="4"/>
    <x v="3"/>
    <x v="0"/>
    <x v="0"/>
    <n v="1"/>
    <s v="30-03-25"/>
    <s v="30"/>
    <x v="0"/>
    <s v="25"/>
  </r>
  <r>
    <s v="ORD0248"/>
    <d v="2025-05-03T00:00:00"/>
    <x v="3"/>
    <x v="2"/>
    <x v="3"/>
    <x v="2"/>
    <x v="24"/>
    <x v="7"/>
    <x v="2"/>
    <x v="0"/>
    <x v="0"/>
    <n v="1"/>
    <s v="03-05-25"/>
    <s v="03"/>
    <x v="11"/>
    <s v="25"/>
  </r>
  <r>
    <s v="ORD0249"/>
    <d v="2025-08-03T00:00:00"/>
    <x v="2"/>
    <x v="1"/>
    <x v="2"/>
    <x v="0"/>
    <x v="3"/>
    <x v="1"/>
    <x v="0"/>
    <x v="0"/>
    <x v="0"/>
    <n v="1"/>
    <s v="03-08-25"/>
    <s v="03"/>
    <x v="3"/>
    <s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CF555B-B5E0-44CB-89EA-B2706F903E0B}"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Status">
  <location ref="J3:K7" firstHeaderRow="1" firstDataRow="1" firstDataCol="1"/>
  <pivotFields count="16">
    <pivotField showAll="0"/>
    <pivotField showAll="0"/>
    <pivotField showAll="0">
      <items count="11">
        <item x="5"/>
        <item x="1"/>
        <item x="6"/>
        <item x="9"/>
        <item x="8"/>
        <item x="0"/>
        <item x="4"/>
        <item x="2"/>
        <item x="3"/>
        <item x="7"/>
        <item t="default"/>
      </items>
    </pivotField>
    <pivotField showAll="0">
      <items count="6">
        <item x="4"/>
        <item x="2"/>
        <item x="1"/>
        <item x="0"/>
        <item x="3"/>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axis="axisRow" dataField="1" showAll="0">
      <items count="4">
        <item n="Can" x="0"/>
        <item n="Com" x="2"/>
        <item n="pen" x="1"/>
        <item t="default"/>
      </items>
    </pivotField>
    <pivotField showAll="0"/>
    <pivotField showAll="0"/>
    <pivotField showAll="0"/>
    <pivotField showAll="0">
      <items count="13">
        <item x="6"/>
        <item x="1"/>
        <item x="0"/>
        <item x="5"/>
        <item x="11"/>
        <item x="9"/>
        <item x="7"/>
        <item x="3"/>
        <item x="8"/>
        <item x="2"/>
        <item x="10"/>
        <item x="4"/>
        <item t="default"/>
      </items>
    </pivotField>
    <pivotField showAll="0"/>
  </pivotFields>
  <rowFields count="1">
    <field x="10"/>
  </rowFields>
  <rowItems count="4">
    <i>
      <x/>
    </i>
    <i>
      <x v="1"/>
    </i>
    <i>
      <x v="2"/>
    </i>
    <i t="grand">
      <x/>
    </i>
  </rowItems>
  <colItems count="1">
    <i/>
  </colItems>
  <dataFields count="1">
    <dataField name="Total Status" fld="10" subtotal="count" baseField="1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0E07B4-7478-40F0-82A8-71F28A58BCB2}"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ategory">
  <location ref="M3:O25" firstHeaderRow="0" firstDataRow="1" firstDataCol="1"/>
  <pivotFields count="16">
    <pivotField showAll="0"/>
    <pivotField showAll="0"/>
    <pivotField axis="axisRow" showAll="0">
      <items count="11">
        <item x="5"/>
        <item x="1"/>
        <item x="6"/>
        <item x="9"/>
        <item x="8"/>
        <item x="0"/>
        <item x="4"/>
        <item x="2"/>
        <item x="3"/>
        <item x="7"/>
        <item t="default"/>
      </items>
    </pivotField>
    <pivotField axis="axisRow" showAll="0">
      <items count="6">
        <item x="4"/>
        <item x="2"/>
        <item x="1"/>
        <item x="0"/>
        <item x="3"/>
        <item t="default"/>
      </items>
    </pivotField>
    <pivotField showAll="0"/>
    <pivotField dataField="1" showAll="0"/>
    <pivotField dataField="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items count="13">
        <item x="6"/>
        <item x="1"/>
        <item x="0"/>
        <item x="5"/>
        <item x="11"/>
        <item x="9"/>
        <item x="7"/>
        <item x="3"/>
        <item x="8"/>
        <item x="2"/>
        <item x="10"/>
        <item x="4"/>
        <item t="default"/>
      </items>
    </pivotField>
    <pivotField showAll="0"/>
  </pivotFields>
  <rowFields count="2">
    <field x="3"/>
    <field x="2"/>
  </rowFields>
  <rowItems count="22">
    <i>
      <x/>
    </i>
    <i r="1">
      <x/>
    </i>
    <i>
      <x v="1"/>
    </i>
    <i r="1">
      <x v="2"/>
    </i>
    <i r="1">
      <x v="8"/>
    </i>
    <i>
      <x v="2"/>
    </i>
    <i r="1">
      <x/>
    </i>
    <i r="1">
      <x v="1"/>
    </i>
    <i r="1">
      <x v="2"/>
    </i>
    <i r="1">
      <x v="3"/>
    </i>
    <i r="1">
      <x v="4"/>
    </i>
    <i r="1">
      <x v="5"/>
    </i>
    <i r="1">
      <x v="6"/>
    </i>
    <i r="1">
      <x v="7"/>
    </i>
    <i r="1">
      <x v="8"/>
    </i>
    <i r="1">
      <x v="9"/>
    </i>
    <i>
      <x v="3"/>
    </i>
    <i r="1">
      <x v="5"/>
    </i>
    <i>
      <x v="4"/>
    </i>
    <i r="1">
      <x v="4"/>
    </i>
    <i r="1">
      <x v="9"/>
    </i>
    <i t="grand">
      <x/>
    </i>
  </rowItems>
  <colFields count="1">
    <field x="-2"/>
  </colFields>
  <colItems count="2">
    <i>
      <x/>
    </i>
    <i i="1">
      <x v="1"/>
    </i>
  </colItems>
  <dataFields count="2">
    <dataField name="Total_Sales" fld="6" baseField="3" baseItem="0"/>
    <dataField name="Quantity_" fld="5"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15C792-15EC-42B3-8546-40D4FE64445A}" name="PivotTable1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Total Sales">
  <location ref="G22:H44" firstHeaderRow="1" firstDataRow="1" firstDataCol="1"/>
  <pivotFields count="16">
    <pivotField showAll="0"/>
    <pivotField showAll="0"/>
    <pivotField showAll="0"/>
    <pivotField showAll="0"/>
    <pivotField showAll="0"/>
    <pivotField showAll="0"/>
    <pivotField axis="axisRow" dataField="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11">
        <item x="7"/>
        <item x="8"/>
        <item x="5"/>
        <item x="1"/>
        <item x="0"/>
        <item x="9"/>
        <item x="2"/>
        <item x="6"/>
        <item x="3"/>
        <item x="4"/>
        <item t="default"/>
      </items>
    </pivotField>
    <pivotField showAll="0"/>
    <pivotField showAll="0"/>
    <pivotField showAll="0"/>
    <pivotField showAll="0"/>
    <pivotField showAll="0"/>
    <pivotField showAll="0"/>
    <pivotField showAll="0"/>
    <pivotField showAll="0"/>
  </pivotFields>
  <rowFields count="1">
    <field x="6"/>
  </rowFields>
  <rowItems count="22">
    <i>
      <x v="1"/>
    </i>
    <i>
      <x v="2"/>
    </i>
    <i>
      <x v="3"/>
    </i>
    <i>
      <x v="4"/>
    </i>
    <i>
      <x v="5"/>
    </i>
    <i>
      <x v="6"/>
    </i>
    <i>
      <x v="8"/>
    </i>
    <i>
      <x v="10"/>
    </i>
    <i>
      <x v="12"/>
    </i>
    <i>
      <x v="15"/>
    </i>
    <i>
      <x v="16"/>
    </i>
    <i>
      <x v="18"/>
    </i>
    <i>
      <x v="20"/>
    </i>
    <i>
      <x v="24"/>
    </i>
    <i>
      <x v="25"/>
    </i>
    <i>
      <x v="30"/>
    </i>
    <i>
      <x v="32"/>
    </i>
    <i>
      <x v="36"/>
    </i>
    <i>
      <x v="40"/>
    </i>
    <i>
      <x v="48"/>
    </i>
    <i>
      <x v="60"/>
    </i>
    <i t="grand">
      <x/>
    </i>
  </rowItems>
  <colItems count="1">
    <i/>
  </colItems>
  <dataFields count="1">
    <dataField name="Distribution" fld="6" subtotal="count" baseField="6" baseItem="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820246-6B53-47B0-9B5A-1C4549FC841D}" name="PivotTable1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Month">
  <location ref="D50:E63" firstHeaderRow="1" firstDataRow="1" firstDataCol="1"/>
  <pivotFields count="16">
    <pivotField showAll="0"/>
    <pivotField showAll="0"/>
    <pivotField showAll="0">
      <items count="11">
        <item x="5"/>
        <item x="1"/>
        <item x="6"/>
        <item x="9"/>
        <item x="8"/>
        <item x="0"/>
        <item x="4"/>
        <item x="2"/>
        <item x="3"/>
        <item x="7"/>
        <item t="default"/>
      </items>
    </pivotField>
    <pivotField showAll="0">
      <items count="6">
        <item x="4"/>
        <item x="2"/>
        <item x="1"/>
        <item x="0"/>
        <item x="3"/>
        <item t="default"/>
      </items>
    </pivotField>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items count="6">
        <item x="1"/>
        <item x="2"/>
        <item x="0"/>
        <item x="4"/>
        <item x="3"/>
        <item t="default"/>
      </items>
    </pivotField>
    <pivotField showAll="0">
      <items count="4">
        <item x="0"/>
        <item x="2"/>
        <item x="1"/>
        <item t="default"/>
      </items>
    </pivotField>
    <pivotField showAll="0"/>
    <pivotField showAll="0"/>
    <pivotField showAll="0"/>
    <pivotField axis="axisRow" showAll="0" sortType="ascending">
      <items count="13">
        <item x="6"/>
        <item x="1"/>
        <item x="0"/>
        <item x="5"/>
        <item x="11"/>
        <item x="9"/>
        <item x="7"/>
        <item x="3"/>
        <item x="8"/>
        <item x="2"/>
        <item x="10"/>
        <item x="4"/>
        <item t="default"/>
      </items>
    </pivotField>
    <pivotField showAll="0"/>
  </pivotFields>
  <rowFields count="1">
    <field x="14"/>
  </rowFields>
  <rowItems count="13">
    <i>
      <x/>
    </i>
    <i>
      <x v="1"/>
    </i>
    <i>
      <x v="2"/>
    </i>
    <i>
      <x v="3"/>
    </i>
    <i>
      <x v="4"/>
    </i>
    <i>
      <x v="5"/>
    </i>
    <i>
      <x v="6"/>
    </i>
    <i>
      <x v="7"/>
    </i>
    <i>
      <x v="8"/>
    </i>
    <i>
      <x v="9"/>
    </i>
    <i>
      <x v="10"/>
    </i>
    <i>
      <x v="11"/>
    </i>
    <i t="grand">
      <x/>
    </i>
  </rowItems>
  <colItems count="1">
    <i/>
  </colItems>
  <dataFields count="1">
    <dataField name="Quantity_" fld="5" baseField="14" baseItem="0"/>
  </dataField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16C9C3-5A50-4E09-8AEB-EBFFE40848DB}"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Payment Method">
  <location ref="J9:K15" firstHeaderRow="1" firstDataRow="1" firstDataCol="1"/>
  <pivotFields count="16">
    <pivotField showAll="0"/>
    <pivotField showAll="0"/>
    <pivotField showAll="0">
      <items count="11">
        <item x="5"/>
        <item x="1"/>
        <item x="6"/>
        <item x="9"/>
        <item x="8"/>
        <item x="0"/>
        <item x="4"/>
        <item x="2"/>
        <item x="3"/>
        <item x="7"/>
        <item t="default"/>
      </items>
    </pivotField>
    <pivotField showAll="0">
      <items count="6">
        <item x="4"/>
        <item x="2"/>
        <item x="1"/>
        <item x="0"/>
        <item x="3"/>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11">
        <item x="6"/>
        <item x="9"/>
        <item x="3"/>
        <item x="2"/>
        <item x="4"/>
        <item x="8"/>
        <item x="5"/>
        <item x="0"/>
        <item x="1"/>
        <item x="7"/>
        <item t="default"/>
      </items>
    </pivotField>
    <pivotField axis="axisRow" dataField="1" showAll="0">
      <items count="6">
        <item x="1"/>
        <item x="2"/>
        <item x="0"/>
        <item x="4"/>
        <item x="3"/>
        <item t="default"/>
      </items>
    </pivotField>
    <pivotField showAll="0">
      <items count="4">
        <item x="0"/>
        <item x="2"/>
        <item x="1"/>
        <item t="default"/>
      </items>
    </pivotField>
    <pivotField showAll="0"/>
    <pivotField showAll="0"/>
    <pivotField showAll="0"/>
    <pivotField showAll="0">
      <items count="13">
        <item x="6"/>
        <item x="1"/>
        <item x="0"/>
        <item x="5"/>
        <item x="11"/>
        <item x="9"/>
        <item x="7"/>
        <item x="3"/>
        <item x="8"/>
        <item x="2"/>
        <item x="10"/>
        <item x="4"/>
        <item t="default"/>
      </items>
    </pivotField>
    <pivotField showAll="0"/>
  </pivotFields>
  <rowFields count="1">
    <field x="9"/>
  </rowFields>
  <rowItems count="6">
    <i>
      <x/>
    </i>
    <i>
      <x v="1"/>
    </i>
    <i>
      <x v="2"/>
    </i>
    <i>
      <x v="3"/>
    </i>
    <i>
      <x v="4"/>
    </i>
    <i t="grand">
      <x/>
    </i>
  </rowItems>
  <colItems count="1">
    <i/>
  </colItems>
  <dataFields count="1">
    <dataField name="Total Payment Method" fld="9" subtotal="count" baseField="9"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9" count="1" selected="0">
            <x v="0"/>
          </reference>
        </references>
      </pivotArea>
    </chartFormat>
    <chartFormat chart="3" format="9">
      <pivotArea type="data" outline="0" fieldPosition="0">
        <references count="2">
          <reference field="4294967294" count="1" selected="0">
            <x v="0"/>
          </reference>
          <reference field="9" count="1" selected="0">
            <x v="1"/>
          </reference>
        </references>
      </pivotArea>
    </chartFormat>
    <chartFormat chart="3" format="10">
      <pivotArea type="data" outline="0" fieldPosition="0">
        <references count="2">
          <reference field="4294967294" count="1" selected="0">
            <x v="0"/>
          </reference>
          <reference field="9" count="1" selected="0">
            <x v="2"/>
          </reference>
        </references>
      </pivotArea>
    </chartFormat>
    <chartFormat chart="3" format="11">
      <pivotArea type="data" outline="0" fieldPosition="0">
        <references count="2">
          <reference field="4294967294" count="1" selected="0">
            <x v="0"/>
          </reference>
          <reference field="9" count="1" selected="0">
            <x v="3"/>
          </reference>
        </references>
      </pivotArea>
    </chartFormat>
    <chartFormat chart="3"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3FB6E1-EA60-43FA-895C-AAB16AC16715}"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rowHeaderCaption="Category">
  <location ref="A3:B9" firstHeaderRow="1" firstDataRow="1" firstDataCol="1"/>
  <pivotFields count="16">
    <pivotField showAll="0"/>
    <pivotField showAll="0"/>
    <pivotField showAll="0">
      <items count="11">
        <item x="5"/>
        <item x="1"/>
        <item x="6"/>
        <item x="9"/>
        <item x="8"/>
        <item x="0"/>
        <item x="4"/>
        <item x="2"/>
        <item x="3"/>
        <item x="7"/>
        <item t="default"/>
      </items>
    </pivotField>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items count="13">
        <item x="6"/>
        <item x="1"/>
        <item x="0"/>
        <item x="5"/>
        <item x="11"/>
        <item x="9"/>
        <item x="7"/>
        <item x="3"/>
        <item x="8"/>
        <item x="2"/>
        <item x="10"/>
        <item x="4"/>
        <item t="default"/>
      </items>
    </pivotField>
    <pivotField showAll="0"/>
  </pivotFields>
  <rowFields count="1">
    <field x="3"/>
  </rowFields>
  <rowItems count="6">
    <i>
      <x v="2"/>
    </i>
    <i>
      <x v="4"/>
    </i>
    <i>
      <x v="3"/>
    </i>
    <i>
      <x v="1"/>
    </i>
    <i>
      <x/>
    </i>
    <i t="grand">
      <x/>
    </i>
  </rowItems>
  <colItems count="1">
    <i/>
  </colItems>
  <dataFields count="1">
    <dataField name="Total_Sales" fld="6" baseField="3"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2"/>
          </reference>
        </references>
      </pivotArea>
    </chartFormat>
    <chartFormat chart="5" format="4">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B52897-1875-4589-9CB9-C416E753D219}"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Month">
  <location ref="A50:B63" firstHeaderRow="1" firstDataRow="1" firstDataCol="1"/>
  <pivotFields count="16">
    <pivotField showAll="0"/>
    <pivotField showAll="0"/>
    <pivotField showAll="0">
      <items count="11">
        <item x="5"/>
        <item x="1"/>
        <item x="6"/>
        <item x="9"/>
        <item x="8"/>
        <item x="0"/>
        <item x="4"/>
        <item x="2"/>
        <item x="3"/>
        <item x="7"/>
        <item t="default"/>
      </items>
    </pivotField>
    <pivotField showAll="0">
      <items count="6">
        <item x="4"/>
        <item x="2"/>
        <item x="1"/>
        <item x="0"/>
        <item x="3"/>
        <item t="default"/>
      </items>
    </pivotField>
    <pivotField showAll="0"/>
    <pivotField showAll="0"/>
    <pivotField dataField="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axis="axisRow" showAll="0" sortType="descending">
      <items count="13">
        <item x="6"/>
        <item x="1"/>
        <item x="0"/>
        <item x="5"/>
        <item x="11"/>
        <item x="9"/>
        <item x="7"/>
        <item x="3"/>
        <item x="8"/>
        <item x="2"/>
        <item x="10"/>
        <item x="4"/>
        <item t="default"/>
      </items>
      <autoSortScope>
        <pivotArea dataOnly="0" outline="0" fieldPosition="0">
          <references count="1">
            <reference field="4294967294" count="1" selected="0">
              <x v="0"/>
            </reference>
          </references>
        </pivotArea>
      </autoSortScope>
    </pivotField>
    <pivotField showAll="0"/>
  </pivotFields>
  <rowFields count="1">
    <field x="14"/>
  </rowFields>
  <rowItems count="13">
    <i>
      <x v="2"/>
    </i>
    <i>
      <x v="1"/>
    </i>
    <i>
      <x v="5"/>
    </i>
    <i>
      <x v="9"/>
    </i>
    <i>
      <x v="3"/>
    </i>
    <i>
      <x v="6"/>
    </i>
    <i>
      <x v="7"/>
    </i>
    <i>
      <x v="10"/>
    </i>
    <i>
      <x v="11"/>
    </i>
    <i>
      <x v="8"/>
    </i>
    <i>
      <x v="4"/>
    </i>
    <i>
      <x/>
    </i>
    <i t="grand">
      <x/>
    </i>
  </rowItems>
  <colItems count="1">
    <i/>
  </colItems>
  <dataFields count="1">
    <dataField name="Total_sales" fld="6" baseField="14" baseItem="0"/>
  </dataFields>
  <chartFormats count="1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2"/>
          </reference>
        </references>
      </pivotArea>
    </chartFormat>
    <chartFormat chart="3" format="4">
      <pivotArea type="data" outline="0" fieldPosition="0">
        <references count="2">
          <reference field="4294967294" count="1" selected="0">
            <x v="0"/>
          </reference>
          <reference field="14" count="1" selected="0">
            <x v="1"/>
          </reference>
        </references>
      </pivotArea>
    </chartFormat>
    <chartFormat chart="3" format="5">
      <pivotArea type="data" outline="0" fieldPosition="0">
        <references count="2">
          <reference field="4294967294" count="1" selected="0">
            <x v="0"/>
          </reference>
          <reference field="14" count="1" selected="0">
            <x v="5"/>
          </reference>
        </references>
      </pivotArea>
    </chartFormat>
    <chartFormat chart="3" format="6">
      <pivotArea type="data" outline="0" fieldPosition="0">
        <references count="2">
          <reference field="4294967294" count="1" selected="0">
            <x v="0"/>
          </reference>
          <reference field="14" count="1" selected="0">
            <x v="9"/>
          </reference>
        </references>
      </pivotArea>
    </chartFormat>
    <chartFormat chart="3" format="7">
      <pivotArea type="data" outline="0" fieldPosition="0">
        <references count="2">
          <reference field="4294967294" count="1" selected="0">
            <x v="0"/>
          </reference>
          <reference field="14" count="1" selected="0">
            <x v="3"/>
          </reference>
        </references>
      </pivotArea>
    </chartFormat>
    <chartFormat chart="3" format="8">
      <pivotArea type="data" outline="0" fieldPosition="0">
        <references count="2">
          <reference field="4294967294" count="1" selected="0">
            <x v="0"/>
          </reference>
          <reference field="14" count="1" selected="0">
            <x v="6"/>
          </reference>
        </references>
      </pivotArea>
    </chartFormat>
    <chartFormat chart="3" format="9">
      <pivotArea type="data" outline="0" fieldPosition="0">
        <references count="2">
          <reference field="4294967294" count="1" selected="0">
            <x v="0"/>
          </reference>
          <reference field="14" count="1" selected="0">
            <x v="7"/>
          </reference>
        </references>
      </pivotArea>
    </chartFormat>
    <chartFormat chart="3" format="10">
      <pivotArea type="data" outline="0" fieldPosition="0">
        <references count="2">
          <reference field="4294967294" count="1" selected="0">
            <x v="0"/>
          </reference>
          <reference field="14" count="1" selected="0">
            <x v="10"/>
          </reference>
        </references>
      </pivotArea>
    </chartFormat>
    <chartFormat chart="3" format="11">
      <pivotArea type="data" outline="0" fieldPosition="0">
        <references count="2">
          <reference field="4294967294" count="1" selected="0">
            <x v="0"/>
          </reference>
          <reference field="14" count="1" selected="0">
            <x v="11"/>
          </reference>
        </references>
      </pivotArea>
    </chartFormat>
    <chartFormat chart="3" format="12">
      <pivotArea type="data" outline="0" fieldPosition="0">
        <references count="2">
          <reference field="4294967294" count="1" selected="0">
            <x v="0"/>
          </reference>
          <reference field="14" count="1" selected="0">
            <x v="8"/>
          </reference>
        </references>
      </pivotArea>
    </chartFormat>
    <chartFormat chart="3" format="13">
      <pivotArea type="data" outline="0" fieldPosition="0">
        <references count="2">
          <reference field="4294967294" count="1" selected="0">
            <x v="0"/>
          </reference>
          <reference field="14" count="1" selected="0">
            <x v="4"/>
          </reference>
        </references>
      </pivotArea>
    </chartFormat>
    <chartFormat chart="3" format="14">
      <pivotArea type="data" outline="0" fieldPosition="0">
        <references count="2">
          <reference field="4294967294" count="1" selected="0">
            <x v="0"/>
          </reference>
          <reference field="1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3D3E04-9538-45A4-902E-56CF4C7C230A}"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Product">
  <location ref="D11:E22" firstHeaderRow="1" firstDataRow="1" firstDataCol="1"/>
  <pivotFields count="16">
    <pivotField showAll="0"/>
    <pivotField showAll="0"/>
    <pivotField axis="axisRow" showAll="0" sortType="descending">
      <items count="11">
        <item x="5"/>
        <item x="1"/>
        <item x="6"/>
        <item x="9"/>
        <item x="8"/>
        <item x="0"/>
        <item x="4"/>
        <item x="2"/>
        <item x="3"/>
        <item x="7"/>
        <item t="default"/>
      </items>
      <autoSortScope>
        <pivotArea dataOnly="0" outline="0" fieldPosition="0">
          <references count="1">
            <reference field="4294967294" count="1" selected="0">
              <x v="0"/>
            </reference>
          </references>
        </pivotArea>
      </autoSortScope>
    </pivotField>
    <pivotField showAll="0">
      <items count="6">
        <item x="4"/>
        <item x="2"/>
        <item x="1"/>
        <item x="0"/>
        <item x="3"/>
        <item t="default"/>
      </items>
    </pivotField>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items count="13">
        <item x="6"/>
        <item x="1"/>
        <item x="0"/>
        <item x="5"/>
        <item x="11"/>
        <item x="9"/>
        <item x="7"/>
        <item x="3"/>
        <item x="8"/>
        <item x="2"/>
        <item x="10"/>
        <item x="4"/>
        <item t="default"/>
      </items>
    </pivotField>
    <pivotField showAll="0"/>
  </pivotFields>
  <rowFields count="1">
    <field x="2"/>
  </rowFields>
  <rowItems count="11">
    <i>
      <x v="7"/>
    </i>
    <i>
      <x v="6"/>
    </i>
    <i>
      <x v="3"/>
    </i>
    <i>
      <x/>
    </i>
    <i>
      <x v="1"/>
    </i>
    <i>
      <x v="5"/>
    </i>
    <i>
      <x v="4"/>
    </i>
    <i>
      <x v="8"/>
    </i>
    <i>
      <x v="2"/>
    </i>
    <i>
      <x v="9"/>
    </i>
    <i t="grand">
      <x/>
    </i>
  </rowItems>
  <colItems count="1">
    <i/>
  </colItems>
  <dataFields count="1">
    <dataField name="Quantity_" fld="5" baseField="2"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DA47E2-171D-42EC-8B77-EE2ADBAFD768}"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Customer Name">
  <location ref="A37:B48" firstHeaderRow="1" firstDataRow="1" firstDataCol="1"/>
  <pivotFields count="16">
    <pivotField showAll="0"/>
    <pivotField showAll="0"/>
    <pivotField showAll="0">
      <items count="11">
        <item x="5"/>
        <item x="1"/>
        <item x="6"/>
        <item x="9"/>
        <item x="8"/>
        <item x="0"/>
        <item x="4"/>
        <item x="2"/>
        <item x="3"/>
        <item x="7"/>
        <item t="default"/>
      </items>
    </pivotField>
    <pivotField showAll="0">
      <items count="6">
        <item x="4"/>
        <item x="2"/>
        <item x="1"/>
        <item x="0"/>
        <item x="3"/>
        <item t="default"/>
      </items>
    </pivotField>
    <pivotField showAll="0"/>
    <pivotField showAll="0"/>
    <pivotField dataField="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sortType="ascending">
      <items count="11">
        <item x="7"/>
        <item x="8"/>
        <item x="5"/>
        <item x="1"/>
        <item x="0"/>
        <item x="9"/>
        <item x="2"/>
        <item x="6"/>
        <item x="3"/>
        <item x="4"/>
        <item t="default"/>
      </items>
      <autoSortScope>
        <pivotArea dataOnly="0" outline="0" fieldPosition="0">
          <references count="1">
            <reference field="4294967294" count="1" selected="0">
              <x v="0"/>
            </reference>
          </references>
        </pivotArea>
      </autoSortScope>
    </pivotField>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items count="13">
        <item x="6"/>
        <item x="1"/>
        <item x="0"/>
        <item x="5"/>
        <item x="11"/>
        <item x="9"/>
        <item x="7"/>
        <item x="3"/>
        <item x="8"/>
        <item x="2"/>
        <item x="10"/>
        <item x="4"/>
        <item t="default"/>
      </items>
    </pivotField>
    <pivotField showAll="0"/>
  </pivotFields>
  <rowFields count="1">
    <field x="7"/>
  </rowFields>
  <rowItems count="11">
    <i>
      <x v="9"/>
    </i>
    <i>
      <x v="1"/>
    </i>
    <i>
      <x v="3"/>
    </i>
    <i>
      <x/>
    </i>
    <i>
      <x v="2"/>
    </i>
    <i>
      <x v="7"/>
    </i>
    <i>
      <x v="6"/>
    </i>
    <i>
      <x v="5"/>
    </i>
    <i>
      <x v="4"/>
    </i>
    <i>
      <x v="8"/>
    </i>
    <i t="grand">
      <x/>
    </i>
  </rowItems>
  <colItems count="1">
    <i/>
  </colItems>
  <dataFields count="1">
    <dataField name="Total_sales" fld="6" baseField="7" baseItem="0"/>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8"/>
          </reference>
        </references>
      </pivotArea>
    </chartFormat>
    <chartFormat chart="3" format="4">
      <pivotArea type="data" outline="0" fieldPosition="0">
        <references count="2">
          <reference field="4294967294" count="1" selected="0">
            <x v="0"/>
          </reference>
          <reference field="7" count="1" selected="0">
            <x v="4"/>
          </reference>
        </references>
      </pivotArea>
    </chartFormat>
    <chartFormat chart="3" format="5">
      <pivotArea type="data" outline="0" fieldPosition="0">
        <references count="2">
          <reference field="4294967294" count="1" selected="0">
            <x v="0"/>
          </reference>
          <reference field="7" count="1" selected="0">
            <x v="5"/>
          </reference>
        </references>
      </pivotArea>
    </chartFormat>
    <chartFormat chart="3" format="6">
      <pivotArea type="data" outline="0" fieldPosition="0">
        <references count="2">
          <reference field="4294967294" count="1" selected="0">
            <x v="0"/>
          </reference>
          <reference field="7" count="1" selected="0">
            <x v="9"/>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EED327-EA74-47BF-B8EE-631DA65E9ED4}"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ice">
  <location ref="G3:H13" firstHeaderRow="1" firstDataRow="1" firstDataCol="1"/>
  <pivotFields count="16">
    <pivotField showAll="0"/>
    <pivotField showAll="0"/>
    <pivotField showAll="0">
      <items count="11">
        <item x="5"/>
        <item x="1"/>
        <item x="6"/>
        <item x="9"/>
        <item x="8"/>
        <item x="0"/>
        <item x="4"/>
        <item x="2"/>
        <item x="3"/>
        <item x="7"/>
        <item t="default"/>
      </items>
    </pivotField>
    <pivotField showAll="0">
      <items count="6">
        <item x="4"/>
        <item x="2"/>
        <item x="1"/>
        <item x="0"/>
        <item x="3"/>
        <item t="default"/>
      </items>
    </pivotField>
    <pivotField axis="axisRow" dataField="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items count="13">
        <item x="6"/>
        <item x="1"/>
        <item x="0"/>
        <item x="5"/>
        <item x="11"/>
        <item x="9"/>
        <item x="7"/>
        <item x="3"/>
        <item x="8"/>
        <item x="2"/>
        <item x="10"/>
        <item x="4"/>
        <item t="default"/>
      </items>
    </pivotField>
    <pivotField showAll="0"/>
  </pivotFields>
  <rowFields count="1">
    <field x="4"/>
  </rowFields>
  <rowItems count="10">
    <i>
      <x v="1"/>
    </i>
    <i>
      <x v="2"/>
    </i>
    <i>
      <x v="3"/>
    </i>
    <i>
      <x v="5"/>
    </i>
    <i>
      <x v="7"/>
    </i>
    <i>
      <x v="25"/>
    </i>
    <i>
      <x v="30"/>
    </i>
    <i>
      <x v="40"/>
    </i>
    <i>
      <x v="60"/>
    </i>
    <i t="grand">
      <x/>
    </i>
  </rowItems>
  <colItems count="1">
    <i/>
  </colItems>
  <dataFields count="1">
    <dataField name="Distribution" fld="4" subtotal="count" baseField="4" baseItem="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79BDE7-CEA3-4A4F-8157-F2717C46ED4A}"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Quantity">
  <location ref="G15:H20" firstHeaderRow="1" firstDataRow="1" firstDataCol="1"/>
  <pivotFields count="16">
    <pivotField showAll="0"/>
    <pivotField showAll="0"/>
    <pivotField showAll="0">
      <items count="11">
        <item x="5"/>
        <item x="1"/>
        <item x="6"/>
        <item x="9"/>
        <item x="8"/>
        <item x="0"/>
        <item x="4"/>
        <item x="2"/>
        <item x="3"/>
        <item x="7"/>
        <item t="default"/>
      </items>
    </pivotField>
    <pivotField showAll="0">
      <items count="6">
        <item x="4"/>
        <item x="2"/>
        <item x="1"/>
        <item x="0"/>
        <item x="3"/>
        <item t="default"/>
      </items>
    </pivotField>
    <pivotField showAll="0"/>
    <pivotField axis="axisRow" dataField="1" showAll="0">
      <items count="7">
        <item x="0"/>
        <item x="1"/>
        <item x="2"/>
        <item x="3"/>
        <item x="4"/>
        <item x="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items count="13">
        <item x="6"/>
        <item x="1"/>
        <item x="0"/>
        <item x="5"/>
        <item x="11"/>
        <item x="9"/>
        <item x="7"/>
        <item x="3"/>
        <item x="8"/>
        <item x="2"/>
        <item x="10"/>
        <item x="4"/>
        <item t="default"/>
      </items>
    </pivotField>
    <pivotField showAll="0"/>
  </pivotFields>
  <rowFields count="1">
    <field x="5"/>
  </rowFields>
  <rowItems count="5">
    <i>
      <x v="1"/>
    </i>
    <i>
      <x v="2"/>
    </i>
    <i>
      <x v="3"/>
    </i>
    <i>
      <x v="4"/>
    </i>
    <i t="grand">
      <x/>
    </i>
  </rowItems>
  <colItems count="1">
    <i/>
  </colItems>
  <dataFields count="1">
    <dataField name="Distribution" fld="5" subtotal="count"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6F38FB-F264-4997-AA1C-1B8A0AD6C26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Product">
  <location ref="A11:B22" firstHeaderRow="1" firstDataRow="1" firstDataCol="1"/>
  <pivotFields count="16">
    <pivotField showAll="0"/>
    <pivotField showAll="0"/>
    <pivotField axis="axisRow" showAll="0" sortType="descending">
      <items count="11">
        <item x="5"/>
        <item x="1"/>
        <item x="6"/>
        <item x="9"/>
        <item x="8"/>
        <item x="0"/>
        <item x="4"/>
        <item x="2"/>
        <item x="3"/>
        <item x="7"/>
        <item t="default"/>
      </items>
      <autoSortScope>
        <pivotArea dataOnly="0" outline="0" fieldPosition="0">
          <references count="1">
            <reference field="4294967294" count="1" selected="0">
              <x v="0"/>
            </reference>
          </references>
        </pivotArea>
      </autoSortScope>
    </pivotField>
    <pivotField showAll="0">
      <items count="6">
        <item x="4"/>
        <item x="2"/>
        <item x="1"/>
        <item x="0"/>
        <item x="3"/>
        <item t="default"/>
      </items>
    </pivotField>
    <pivotField showAll="0"/>
    <pivotField showAll="0"/>
    <pivotField dataField="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items count="13">
        <item x="6"/>
        <item x="1"/>
        <item x="0"/>
        <item x="5"/>
        <item x="11"/>
        <item x="9"/>
        <item x="7"/>
        <item x="3"/>
        <item x="8"/>
        <item x="2"/>
        <item x="10"/>
        <item x="4"/>
        <item t="default"/>
      </items>
    </pivotField>
    <pivotField showAll="0"/>
  </pivotFields>
  <rowFields count="1">
    <field x="2"/>
  </rowFields>
  <rowItems count="11">
    <i>
      <x v="4"/>
    </i>
    <i>
      <x v="3"/>
    </i>
    <i>
      <x v="6"/>
    </i>
    <i>
      <x v="9"/>
    </i>
    <i>
      <x v="7"/>
    </i>
    <i>
      <x v="1"/>
    </i>
    <i>
      <x v="5"/>
    </i>
    <i>
      <x v="2"/>
    </i>
    <i>
      <x v="8"/>
    </i>
    <i>
      <x/>
    </i>
    <i t="grand">
      <x/>
    </i>
  </rowItems>
  <colItems count="1">
    <i/>
  </colItems>
  <dataFields count="1">
    <dataField name="Total_sales" fld="6" baseField="2"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4"/>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6"/>
          </reference>
        </references>
      </pivotArea>
    </chartFormat>
    <chartFormat chart="3" format="6">
      <pivotArea type="data" outline="0" fieldPosition="0">
        <references count="2">
          <reference field="4294967294" count="1" selected="0">
            <x v="0"/>
          </reference>
          <reference field="2" count="1" selected="0">
            <x v="9"/>
          </reference>
        </references>
      </pivotArea>
    </chartFormat>
    <chartFormat chart="3" format="7">
      <pivotArea type="data" outline="0" fieldPosition="0">
        <references count="2">
          <reference field="4294967294" count="1" selected="0">
            <x v="0"/>
          </reference>
          <reference field="2" count="1" selected="0">
            <x v="7"/>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5"/>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8"/>
          </reference>
        </references>
      </pivotArea>
    </chartFormat>
    <chartFormat chart="3" format="12">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C1D92DD-D5D6-4646-9094-ACDEA93BD398}"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rowHeaderCaption="Category">
  <location ref="D3:E9" firstHeaderRow="1" firstDataRow="1" firstDataCol="1"/>
  <pivotFields count="16">
    <pivotField showAll="0"/>
    <pivotField showAll="0"/>
    <pivotField showAll="0">
      <items count="11">
        <item x="5"/>
        <item x="1"/>
        <item x="6"/>
        <item x="9"/>
        <item x="8"/>
        <item x="0"/>
        <item x="4"/>
        <item x="2"/>
        <item x="3"/>
        <item x="7"/>
        <item t="default"/>
      </items>
    </pivotField>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items count="13">
        <item x="6"/>
        <item x="1"/>
        <item x="0"/>
        <item x="5"/>
        <item x="11"/>
        <item x="9"/>
        <item x="7"/>
        <item x="3"/>
        <item x="8"/>
        <item x="2"/>
        <item x="10"/>
        <item x="4"/>
        <item t="default"/>
      </items>
    </pivotField>
    <pivotField showAll="0"/>
  </pivotFields>
  <rowFields count="1">
    <field x="3"/>
  </rowFields>
  <rowItems count="6">
    <i>
      <x v="2"/>
    </i>
    <i>
      <x v="1"/>
    </i>
    <i>
      <x v="4"/>
    </i>
    <i>
      <x/>
    </i>
    <i>
      <x v="3"/>
    </i>
    <i t="grand">
      <x/>
    </i>
  </rowItems>
  <colItems count="1">
    <i/>
  </colItems>
  <dataFields count="1">
    <dataField name="Quantity_" fld="5" baseField="3" baseItem="0"/>
  </dataFields>
  <chartFormats count="6">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2"/>
          </reference>
        </references>
      </pivotArea>
    </chartFormat>
    <chartFormat chart="11" format="4">
      <pivotArea type="data" outline="0" fieldPosition="0">
        <references count="2">
          <reference field="4294967294" count="1" selected="0">
            <x v="0"/>
          </reference>
          <reference field="3" count="1" selected="0">
            <x v="1"/>
          </reference>
        </references>
      </pivotArea>
    </chartFormat>
    <chartFormat chart="11" format="5">
      <pivotArea type="data" outline="0" fieldPosition="0">
        <references count="2">
          <reference field="4294967294" count="1" selected="0">
            <x v="0"/>
          </reference>
          <reference field="3" count="1" selected="0">
            <x v="4"/>
          </reference>
        </references>
      </pivotArea>
    </chartFormat>
    <chartFormat chart="11" format="6">
      <pivotArea type="data" outline="0" fieldPosition="0">
        <references count="2">
          <reference field="4294967294" count="1" selected="0">
            <x v="0"/>
          </reference>
          <reference field="3" count="1" selected="0">
            <x v="0"/>
          </reference>
        </references>
      </pivotArea>
    </chartFormat>
    <chartFormat chart="11" format="7">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D56BDFC-37F1-4334-AA00-5134E1DAC0E7}" name="PivotTable1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ustomer Name">
  <location ref="D37:E48" firstHeaderRow="1" firstDataRow="1" firstDataCol="1"/>
  <pivotFields count="16">
    <pivotField showAll="0"/>
    <pivotField showAll="0"/>
    <pivotField showAll="0">
      <items count="11">
        <item x="5"/>
        <item x="1"/>
        <item x="6"/>
        <item x="9"/>
        <item x="8"/>
        <item x="0"/>
        <item x="4"/>
        <item x="2"/>
        <item x="3"/>
        <item x="7"/>
        <item t="default"/>
      </items>
    </pivotField>
    <pivotField showAll="0">
      <items count="6">
        <item x="4"/>
        <item x="2"/>
        <item x="1"/>
        <item x="0"/>
        <item x="3"/>
        <item t="default"/>
      </items>
    </pivotField>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showAll="0" sortType="descending">
      <items count="11">
        <item x="7"/>
        <item x="8"/>
        <item x="5"/>
        <item x="1"/>
        <item x="0"/>
        <item x="9"/>
        <item x="2"/>
        <item x="6"/>
        <item x="3"/>
        <item x="4"/>
        <item t="default"/>
      </items>
      <autoSortScope>
        <pivotArea dataOnly="0" outline="0" fieldPosition="0">
          <references count="1">
            <reference field="4294967294" count="1" selected="0">
              <x v="0"/>
            </reference>
          </references>
        </pivotArea>
      </autoSortScope>
    </pivotField>
    <pivotField showAll="0">
      <items count="11">
        <item x="6"/>
        <item x="9"/>
        <item x="3"/>
        <item x="2"/>
        <item x="4"/>
        <item x="8"/>
        <item x="5"/>
        <item x="0"/>
        <item x="1"/>
        <item x="7"/>
        <item t="default"/>
      </items>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items count="13">
        <item x="6"/>
        <item x="1"/>
        <item x="0"/>
        <item x="5"/>
        <item x="11"/>
        <item x="9"/>
        <item x="7"/>
        <item x="3"/>
        <item x="8"/>
        <item x="2"/>
        <item x="10"/>
        <item x="4"/>
        <item t="default"/>
      </items>
    </pivotField>
    <pivotField showAll="0"/>
  </pivotFields>
  <rowFields count="1">
    <field x="7"/>
  </rowFields>
  <rowItems count="11">
    <i>
      <x v="4"/>
    </i>
    <i>
      <x v="5"/>
    </i>
    <i>
      <x v="8"/>
    </i>
    <i>
      <x v="7"/>
    </i>
    <i>
      <x v="2"/>
    </i>
    <i>
      <x v="6"/>
    </i>
    <i>
      <x v="1"/>
    </i>
    <i>
      <x v="3"/>
    </i>
    <i>
      <x/>
    </i>
    <i>
      <x v="9"/>
    </i>
    <i t="grand">
      <x/>
    </i>
  </rowItems>
  <colItems count="1">
    <i/>
  </colItems>
  <dataFields count="1">
    <dataField name="Quantity_" fld="5"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57EFBF7-AFA1-46DB-9BC1-C47AD6B27914}" name="PivotTable1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Location">
  <location ref="D24:E35" firstHeaderRow="1" firstDataRow="1" firstDataCol="1"/>
  <pivotFields count="16">
    <pivotField showAll="0"/>
    <pivotField showAll="0"/>
    <pivotField showAll="0">
      <items count="11">
        <item x="5"/>
        <item x="1"/>
        <item x="6"/>
        <item x="9"/>
        <item x="8"/>
        <item x="0"/>
        <item x="4"/>
        <item x="2"/>
        <item x="3"/>
        <item x="7"/>
        <item t="default"/>
      </items>
    </pivotField>
    <pivotField showAll="0">
      <items count="6">
        <item x="4"/>
        <item x="2"/>
        <item x="1"/>
        <item x="0"/>
        <item x="3"/>
        <item t="default"/>
      </items>
    </pivotField>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sortType="descending">
      <items count="11">
        <item x="6"/>
        <item x="9"/>
        <item x="3"/>
        <item x="2"/>
        <item x="4"/>
        <item x="8"/>
        <item x="5"/>
        <item x="0"/>
        <item x="1"/>
        <item x="7"/>
        <item t="default"/>
      </items>
      <autoSortScope>
        <pivotArea dataOnly="0" outline="0" fieldPosition="0">
          <references count="1">
            <reference field="4294967294" count="1" selected="0">
              <x v="0"/>
            </reference>
          </references>
        </pivotArea>
      </autoSortScope>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items count="13">
        <item x="6"/>
        <item x="1"/>
        <item x="0"/>
        <item x="5"/>
        <item x="11"/>
        <item x="9"/>
        <item x="7"/>
        <item x="3"/>
        <item x="8"/>
        <item x="2"/>
        <item x="10"/>
        <item x="4"/>
        <item t="default"/>
      </items>
    </pivotField>
    <pivotField showAll="0"/>
  </pivotFields>
  <rowFields count="1">
    <field x="8"/>
  </rowFields>
  <rowItems count="11">
    <i>
      <x v="3"/>
    </i>
    <i>
      <x v="6"/>
    </i>
    <i>
      <x v="7"/>
    </i>
    <i>
      <x v="4"/>
    </i>
    <i>
      <x/>
    </i>
    <i>
      <x v="2"/>
    </i>
    <i>
      <x v="8"/>
    </i>
    <i>
      <x v="9"/>
    </i>
    <i>
      <x v="1"/>
    </i>
    <i>
      <x v="5"/>
    </i>
    <i t="grand">
      <x/>
    </i>
  </rowItems>
  <colItems count="1">
    <i/>
  </colItems>
  <dataFields count="1">
    <dataField name="Quantity_" fld="5" baseField="8"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42E2076-99E0-4A2F-8C0A-931BEF444829}"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Location">
  <location ref="A24:B35" firstHeaderRow="1" firstDataRow="1" firstDataCol="1"/>
  <pivotFields count="16">
    <pivotField showAll="0"/>
    <pivotField showAll="0"/>
    <pivotField showAll="0">
      <items count="11">
        <item x="5"/>
        <item x="1"/>
        <item x="6"/>
        <item x="9"/>
        <item x="8"/>
        <item x="0"/>
        <item x="4"/>
        <item x="2"/>
        <item x="3"/>
        <item x="7"/>
        <item t="default"/>
      </items>
    </pivotField>
    <pivotField showAll="0">
      <items count="6">
        <item x="4"/>
        <item x="2"/>
        <item x="1"/>
        <item x="0"/>
        <item x="3"/>
        <item t="default"/>
      </items>
    </pivotField>
    <pivotField showAll="0"/>
    <pivotField showAll="0"/>
    <pivotField dataField="1"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sortType="descending">
      <items count="11">
        <item x="6"/>
        <item x="9"/>
        <item x="3"/>
        <item x="2"/>
        <item x="4"/>
        <item x="8"/>
        <item x="5"/>
        <item x="0"/>
        <item x="1"/>
        <item x="7"/>
        <item t="default"/>
      </items>
      <autoSortScope>
        <pivotArea dataOnly="0" outline="0" fieldPosition="0">
          <references count="1">
            <reference field="4294967294" count="1" selected="0">
              <x v="0"/>
            </reference>
          </references>
        </pivotArea>
      </autoSortScope>
    </pivotField>
    <pivotField showAll="0">
      <items count="6">
        <item x="1"/>
        <item x="2"/>
        <item x="0"/>
        <item x="4"/>
        <item x="3"/>
        <item t="default"/>
      </items>
    </pivotField>
    <pivotField showAll="0">
      <items count="4">
        <item x="0"/>
        <item x="2"/>
        <item x="1"/>
        <item t="default"/>
      </items>
    </pivotField>
    <pivotField showAll="0"/>
    <pivotField showAll="0"/>
    <pivotField showAll="0"/>
    <pivotField showAll="0">
      <items count="13">
        <item x="6"/>
        <item x="1"/>
        <item x="0"/>
        <item x="5"/>
        <item x="11"/>
        <item x="9"/>
        <item x="7"/>
        <item x="3"/>
        <item x="8"/>
        <item x="2"/>
        <item x="10"/>
        <item x="4"/>
        <item t="default"/>
      </items>
    </pivotField>
    <pivotField showAll="0"/>
  </pivotFields>
  <rowFields count="1">
    <field x="8"/>
  </rowFields>
  <rowItems count="11">
    <i>
      <x v="3"/>
    </i>
    <i>
      <x v="6"/>
    </i>
    <i>
      <x/>
    </i>
    <i>
      <x v="4"/>
    </i>
    <i>
      <x v="2"/>
    </i>
    <i>
      <x v="7"/>
    </i>
    <i>
      <x v="1"/>
    </i>
    <i>
      <x v="9"/>
    </i>
    <i>
      <x v="5"/>
    </i>
    <i>
      <x v="8"/>
    </i>
    <i t="grand">
      <x/>
    </i>
  </rowItems>
  <colItems count="1">
    <i/>
  </colItems>
  <dataFields count="1">
    <dataField name="Total_sales" fld="6" baseField="8"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3"/>
          </reference>
        </references>
      </pivotArea>
    </chartFormat>
    <chartFormat chart="3" format="4">
      <pivotArea type="data" outline="0" fieldPosition="0">
        <references count="2">
          <reference field="4294967294" count="1" selected="0">
            <x v="0"/>
          </reference>
          <reference field="8" count="1" selected="0">
            <x v="6"/>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4"/>
          </reference>
        </references>
      </pivotArea>
    </chartFormat>
    <chartFormat chart="3" format="7">
      <pivotArea type="data" outline="0" fieldPosition="0">
        <references count="2">
          <reference field="4294967294" count="1" selected="0">
            <x v="0"/>
          </reference>
          <reference field="8" count="1" selected="0">
            <x v="2"/>
          </reference>
        </references>
      </pivotArea>
    </chartFormat>
    <chartFormat chart="3" format="8">
      <pivotArea type="data" outline="0" fieldPosition="0">
        <references count="2">
          <reference field="4294967294" count="1" selected="0">
            <x v="0"/>
          </reference>
          <reference field="8" count="1" selected="0">
            <x v="7"/>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9"/>
          </reference>
        </references>
      </pivotArea>
    </chartFormat>
    <chartFormat chart="3" format="11">
      <pivotArea type="data" outline="0" fieldPosition="0">
        <references count="2">
          <reference field="4294967294" count="1" selected="0">
            <x v="0"/>
          </reference>
          <reference field="8" count="1" selected="0">
            <x v="5"/>
          </reference>
        </references>
      </pivotArea>
    </chartFormat>
    <chartFormat chart="3" format="12">
      <pivotArea type="data" outline="0" fieldPosition="0">
        <references count="2">
          <reference field="4294967294" count="1" selected="0">
            <x v="0"/>
          </reference>
          <reference field="8"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2D470C-792E-4822-A30E-90FF5DB60A7B}" sourceName="Category">
  <pivotTables>
    <pivotTable tabId="6" name="PivotTable3"/>
    <pivotTable tabId="6" name="PivotTable1"/>
    <pivotTable tabId="6" name="PivotTable10"/>
    <pivotTable tabId="6" name="PivotTable11"/>
    <pivotTable tabId="6" name="PivotTable12"/>
    <pivotTable tabId="6" name="PivotTable14"/>
    <pivotTable tabId="6" name="PivotTable15"/>
    <pivotTable tabId="6" name="PivotTable16"/>
    <pivotTable tabId="6" name="PivotTable2"/>
    <pivotTable tabId="6" name="PivotTable4"/>
    <pivotTable tabId="6" name="PivotTable5"/>
    <pivotTable tabId="6" name="PivotTable6"/>
    <pivotTable tabId="6" name="PivotTable7"/>
    <pivotTable tabId="6" name="PivotTable8"/>
    <pivotTable tabId="6" name="PivotTable9"/>
  </pivotTables>
  <data>
    <tabular pivotCacheId="1066659228" customListSort="0">
      <items count="5">
        <i x="4" s="1"/>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323F104-0392-4C4E-9309-41729B5FBBAD}" sourceName="Product">
  <pivotTables>
    <pivotTable tabId="6" name="PivotTable3"/>
    <pivotTable tabId="6" name="PivotTable1"/>
    <pivotTable tabId="6" name="PivotTable10"/>
    <pivotTable tabId="6" name="PivotTable11"/>
    <pivotTable tabId="6" name="PivotTable12"/>
    <pivotTable tabId="6" name="PivotTable14"/>
    <pivotTable tabId="6" name="PivotTable15"/>
    <pivotTable tabId="6" name="PivotTable16"/>
    <pivotTable tabId="6" name="PivotTable2"/>
    <pivotTable tabId="6" name="PivotTable4"/>
    <pivotTable tabId="6" name="PivotTable5"/>
    <pivotTable tabId="6" name="PivotTable6"/>
    <pivotTable tabId="6" name="PivotTable7"/>
    <pivotTable tabId="6" name="PivotTable8"/>
    <pivotTable tabId="6" name="PivotTable9"/>
  </pivotTables>
  <data>
    <tabular pivotCacheId="1066659228">
      <items count="10">
        <i x="5" s="1"/>
        <i x="1" s="1"/>
        <i x="6" s="1"/>
        <i x="9" s="1"/>
        <i x="8" s="1"/>
        <i x="0" s="1"/>
        <i x="4" s="1"/>
        <i x="2" s="1"/>
        <i x="3"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A06B50E0-A3D6-4586-90AF-AEDC28F46AF5}" sourceName="Customer Location">
  <pivotTables>
    <pivotTable tabId="6" name="PivotTable6"/>
    <pivotTable tabId="6" name="PivotTable1"/>
    <pivotTable tabId="6" name="PivotTable10"/>
    <pivotTable tabId="6" name="PivotTable11"/>
    <pivotTable tabId="6" name="PivotTable12"/>
    <pivotTable tabId="6" name="PivotTable14"/>
    <pivotTable tabId="6" name="PivotTable15"/>
    <pivotTable tabId="6" name="PivotTable2"/>
    <pivotTable tabId="6" name="PivotTable3"/>
    <pivotTable tabId="6" name="PivotTable4"/>
    <pivotTable tabId="6" name="PivotTable5"/>
    <pivotTable tabId="6" name="PivotTable7"/>
    <pivotTable tabId="6" name="PivotTable8"/>
    <pivotTable tabId="6" name="PivotTable9"/>
  </pivotTables>
  <data>
    <tabular pivotCacheId="1066659228">
      <items count="10">
        <i x="6" s="1"/>
        <i x="9" s="1"/>
        <i x="3" s="1"/>
        <i x="2" s="1"/>
        <i x="4" s="1"/>
        <i x="8" s="1"/>
        <i x="5" s="1"/>
        <i x="0" s="1"/>
        <i x="1"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915D18E-ED9A-44F2-95E8-688C9067C34C}" sourceName="Month">
  <pivotTables>
    <pivotTable tabId="6" name="PivotTable3"/>
    <pivotTable tabId="6" name="PivotTable1"/>
    <pivotTable tabId="6" name="PivotTable10"/>
    <pivotTable tabId="6" name="PivotTable11"/>
    <pivotTable tabId="6" name="PivotTable12"/>
    <pivotTable tabId="6" name="PivotTable14"/>
    <pivotTable tabId="6" name="PivotTable15"/>
    <pivotTable tabId="6" name="PivotTable16"/>
    <pivotTable tabId="6" name="PivotTable2"/>
    <pivotTable tabId="6" name="PivotTable4"/>
    <pivotTable tabId="6" name="PivotTable5"/>
    <pivotTable tabId="6" name="PivotTable6"/>
    <pivotTable tabId="6" name="PivotTable7"/>
    <pivotTable tabId="6" name="PivotTable8"/>
    <pivotTable tabId="6" name="PivotTable9"/>
  </pivotTables>
  <data>
    <tabular pivotCacheId="1066659228" customListSort="0" showMissing="0" crossFilter="none">
      <items count="12">
        <i x="6" s="1"/>
        <i x="1" s="1"/>
        <i x="0" s="1"/>
        <i x="5" s="1"/>
        <i x="11" s="1"/>
        <i x="9" s="1"/>
        <i x="7" s="1"/>
        <i x="3" s="1"/>
        <i x="8" s="1"/>
        <i x="2" s="1"/>
        <i x="1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3A0B9B4-68A2-43D5-BD4F-4F7FEFD861AA}" sourceName="Status">
  <pivotTables>
    <pivotTable tabId="6" name="PivotTable8"/>
    <pivotTable tabId="6" name="PivotTable1"/>
    <pivotTable tabId="6" name="PivotTable10"/>
    <pivotTable tabId="6" name="PivotTable11"/>
    <pivotTable tabId="6" name="PivotTable12"/>
    <pivotTable tabId="6" name="PivotTable14"/>
    <pivotTable tabId="6" name="PivotTable15"/>
    <pivotTable tabId="6" name="PivotTable16"/>
    <pivotTable tabId="6" name="PivotTable2"/>
    <pivotTable tabId="6" name="PivotTable3"/>
    <pivotTable tabId="6" name="PivotTable4"/>
    <pivotTable tabId="6" name="PivotTable5"/>
    <pivotTable tabId="6" name="PivotTable6"/>
    <pivotTable tabId="6" name="PivotTable7"/>
    <pivotTable tabId="6" name="PivotTable9"/>
  </pivotTables>
  <data>
    <tabular pivotCacheId="1066659228">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CFB857C-2A52-4DD4-9635-EEA4298A8368}" sourceName="Payment Method">
  <pivotTables>
    <pivotTable tabId="6" name="PivotTable9"/>
    <pivotTable tabId="6" name="PivotTable1"/>
    <pivotTable tabId="6" name="PivotTable10"/>
    <pivotTable tabId="6" name="PivotTable11"/>
    <pivotTable tabId="6" name="PivotTable12"/>
    <pivotTable tabId="6" name="PivotTable14"/>
    <pivotTable tabId="6" name="PivotTable15"/>
    <pivotTable tabId="6" name="PivotTable16"/>
    <pivotTable tabId="6" name="PivotTable2"/>
    <pivotTable tabId="6" name="PivotTable3"/>
    <pivotTable tabId="6" name="PivotTable4"/>
    <pivotTable tabId="6" name="PivotTable5"/>
    <pivotTable tabId="6" name="PivotTable6"/>
    <pivotTable tabId="6" name="PivotTable7"/>
    <pivotTable tabId="6" name="PivotTable8"/>
  </pivotTables>
  <data>
    <tabular pivotCacheId="1066659228" customListSort="0">
      <items count="5">
        <i x="1" s="1"/>
        <i x="2" s="1"/>
        <i x="0" s="1"/>
        <i x="4"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 xr10:uid="{518DCCF9-79A0-4FB8-BA18-1EC9F6DB1BBE}" sourceName="Date_">
  <extLst>
    <x:ext xmlns:x15="http://schemas.microsoft.com/office/spreadsheetml/2010/11/main" uri="{2F2917AC-EB37-4324-AD4E-5DD8C200BD13}">
      <x15:tableSlicerCache tableId="2" column="14" customListSort="0"/>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5A9ED4F-0BA3-4752-BD43-4CF0287EE14F}" sourceName="Year">
  <extLst>
    <x:ext xmlns:x15="http://schemas.microsoft.com/office/spreadsheetml/2010/11/main" uri="{2F2917AC-EB37-4324-AD4E-5DD8C200BD13}">
      <x15:tableSlicerCache tableId="2" column="16" customListSort="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F4CE60B-3890-49E0-9264-23FFB625437B}" cache="Slicer_Category" caption="Category" rowHeight="241300"/>
  <slicer name="Product" xr10:uid="{08AC9AF2-F43D-4BD9-B84F-A236B8A8E995}" cache="Slicer_Product" caption="Product" rowHeight="241300"/>
  <slicer name="Customer Location" xr10:uid="{CF6112FC-6044-43DB-91DF-D3ABDA23EAD4}" cache="Slicer_Customer_Location" caption=" Location" rowHeight="241300"/>
  <slicer name="Month" xr10:uid="{FA0E6658-8C76-4CC5-8696-EB61CFCACDF8}" cache="Slicer_Month" caption="Month" showCaption="0" rowHeight="241300"/>
  <slicer name="Status" xr10:uid="{E9883E28-7833-4E2E-9BF7-0EC3D8F10BDA}" cache="Slicer_Status" caption="Status" showCaption="0" rowHeight="241300"/>
  <slicer name="Payment Method" xr10:uid="{05970F87-0346-4ADC-B63C-F661C9159418}" cache="Slicer_Payment_Method" caption="Payment 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D0AFA888-A58F-433E-BB36-CCFB23405158}" cache="Slicer_Date_" caption="Date_" startItem="12" showCaption="0" rowHeight="241300"/>
  <slicer name="Year" xr10:uid="{A849BBE2-D032-43EC-8930-E2844768A517}" cache="Slicer_Year" caption="Year" showCaption="0"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C176E3B-37A2-459D-A830-8AE700FBFB0F}" cache="Slicer_Category" caption="Category" rowHeight="241300"/>
  <slicer name="Product 1" xr10:uid="{1E5640A2-D70B-4501-90AB-33B51A80A615}" cache="Slicer_Product" caption="Product" rowHeight="241300"/>
  <slicer name="Customer Location 1" xr10:uid="{BAF7BDF8-2BEF-4FED-ACFF-E52DE578E5B0}" cache="Slicer_Customer_Location" caption=" Location" rowHeight="241300"/>
  <slicer name="Month 1" xr10:uid="{98823CBF-9AD1-4AF9-81A9-AC3F4F3ADEBD}" cache="Slicer_Month" caption="Month" showCaption="0" rowHeight="241300"/>
  <slicer name="Status 1" xr10:uid="{6829E717-82D5-4260-A855-B8C3290F0E34}" cache="Slicer_Status" caption="Status" showCaption="0" rowHeight="241300"/>
  <slicer name="Payment Method 1" xr10:uid="{09C0A639-B687-4C56-94AF-39B1EE3DC3FC}" cache="Slicer_Payment_Method" caption="Payment Metho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A0E925CF-A0EF-4314-9569-F8C50528EEC3}" cache="Slicer_Date_" caption="Date_" startItem="12" showCaption="0" rowHeight="241300"/>
  <slicer name="Year 1" xr10:uid="{C38EEF6D-DF9A-4EDD-BA64-FB10417036C3}" cache="Slicer_Year" caption="Year"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55" totalsRowShown="0">
  <autoFilter ref="A1:K255" xr:uid="{00000000-0009-0000-0100-000001000000}"/>
  <tableColumns count="11">
    <tableColumn id="1" xr3:uid="{00000000-0010-0000-0000-000001000000}" name="Order ID"/>
    <tableColumn id="2" xr3:uid="{00000000-0010-0000-0000-000002000000}" name="Date" dataDxfId="6"/>
    <tableColumn id="3" xr3:uid="{00000000-0010-0000-0000-000003000000}" name="Product"/>
    <tableColumn id="4" xr3:uid="{00000000-0010-0000-0000-000004000000}" name="Category"/>
    <tableColumn id="5" xr3:uid="{00000000-0010-0000-0000-000005000000}" name="Price"/>
    <tableColumn id="6" xr3:uid="{00000000-0010-0000-0000-000006000000}" name="Quantity"/>
    <tableColumn id="7" xr3:uid="{00000000-0010-0000-0000-000007000000}" name="Total Sales"/>
    <tableColumn id="8" xr3:uid="{00000000-0010-0000-0000-000008000000}" name="Customer Name"/>
    <tableColumn id="9" xr3:uid="{00000000-0010-0000-0000-000009000000}" name="Customer Location"/>
    <tableColumn id="10" xr3:uid="{00000000-0010-0000-0000-00000A000000}" name="Payment Method"/>
    <tableColumn id="11" xr3:uid="{00000000-0010-0000-0000-00000B000000}" name="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P219" totalsRowShown="0">
  <autoFilter ref="A1:P219" xr:uid="{00000000-0009-0000-0100-000002000000}"/>
  <tableColumns count="16">
    <tableColumn id="1" xr3:uid="{00000000-0010-0000-0100-000001000000}" name="Order ID">
      <calculatedColumnFormula>IF(Raw_data!A2="",NA(),Raw_data!A2)</calculatedColumnFormula>
    </tableColumn>
    <tableColumn id="2" xr3:uid="{00000000-0010-0000-0100-000002000000}" name="Date" dataDxfId="5">
      <calculatedColumnFormula>IF(Raw_data!B2="",NA(),Raw_data!B2)</calculatedColumnFormula>
    </tableColumn>
    <tableColumn id="3" xr3:uid="{00000000-0010-0000-0100-000003000000}" name="Product">
      <calculatedColumnFormula>IF(Raw_data!C2="",NA(),Raw_data!C2)</calculatedColumnFormula>
    </tableColumn>
    <tableColumn id="4" xr3:uid="{00000000-0010-0000-0100-000004000000}" name="Category">
      <calculatedColumnFormula>IF(Raw_data!D2="",NA(),Raw_data!D2)</calculatedColumnFormula>
    </tableColumn>
    <tableColumn id="5" xr3:uid="{00000000-0010-0000-0100-000005000000}" name="Price">
      <calculatedColumnFormula>IF(Raw_data!E2="",NA(),Raw_data!E2)</calculatedColumnFormula>
    </tableColumn>
    <tableColumn id="6" xr3:uid="{00000000-0010-0000-0100-000006000000}" name="Quantity">
      <calculatedColumnFormula>IF(Raw_data!F2="",NA(),Raw_data!F2)</calculatedColumnFormula>
    </tableColumn>
    <tableColumn id="7" xr3:uid="{00000000-0010-0000-0100-000007000000}" name="Total Sales">
      <calculatedColumnFormula>IF(Raw_data!G2="",NA(),Raw_data!G2)</calculatedColumnFormula>
    </tableColumn>
    <tableColumn id="8" xr3:uid="{00000000-0010-0000-0100-000008000000}" name="Customer Name">
      <calculatedColumnFormula>IF(Raw_data!H2="",NA(),Raw_data!H2)</calculatedColumnFormula>
    </tableColumn>
    <tableColumn id="9" xr3:uid="{00000000-0010-0000-0100-000009000000}" name="Customer Location">
      <calculatedColumnFormula>IF(Raw_data!I2="",NA(),Raw_data!I2)</calculatedColumnFormula>
    </tableColumn>
    <tableColumn id="10" xr3:uid="{00000000-0010-0000-0100-00000A000000}" name="Payment Method">
      <calculatedColumnFormula>IF(Raw_data!J2="",NA(),Raw_data!J2)</calculatedColumnFormula>
    </tableColumn>
    <tableColumn id="11" xr3:uid="{00000000-0010-0000-0100-00000B000000}" name="Status">
      <calculatedColumnFormula>IF(Raw_data!K2="",NA(),Raw_data!K2)</calculatedColumnFormula>
    </tableColumn>
    <tableColumn id="12" xr3:uid="{C62C6605-CD22-42CB-9144-6BEDB82BDDFC}" name="Duplicate" dataDxfId="4">
      <calculatedColumnFormula>COUNTIFS(A:A,A2,B:B,B2,C:C,C2,D:D,D2,E:E,E2,F:F,F2,G:G,G2,H:H,H2,I:I,I2,J:J,J2,K:K,K2)</calculatedColumnFormula>
    </tableColumn>
    <tableColumn id="13" xr3:uid="{2F215E86-F5E3-49A3-84DC-6A474B111CFB}" name="Date_text" dataDxfId="3">
      <calculatedColumnFormula>TEXT(B2,"dd-mm-yy")</calculatedColumnFormula>
    </tableColumn>
    <tableColumn id="14" xr3:uid="{E1E38038-4E0E-43DB-8855-36F6CF065ABF}" name="Date_" dataDxfId="2">
      <calculatedColumnFormula>LEFT(Table2[[#This Row],[Date_text]],2)</calculatedColumnFormula>
    </tableColumn>
    <tableColumn id="15" xr3:uid="{E086F308-4C1A-4D78-A460-7FB4683AC638}" name="Month" dataDxfId="1">
      <calculatedColumnFormula>MID(Table2[[#This Row],[Date_text]],4,2)</calculatedColumnFormula>
    </tableColumn>
    <tableColumn id="16" xr3:uid="{DAEE0352-6F94-497D-965B-A7A7FE830F7C}" name="Year" dataDxfId="0">
      <calculatedColumnFormula>RIGHT(Table2[[#This Row],[Date_text]],2)</calculatedColumnFormula>
    </tableColumn>
  </tableColumns>
  <tableStyleInfo name="TableStyleDark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5E7539-4AC2-4F20-BB7E-7E6DA23CC16E}" name="Table3" displayName="Table3" ref="R1:V12" totalsRowShown="0">
  <autoFilter ref="R1:V12" xr:uid="{255E7539-4AC2-4F20-BB7E-7E6DA23CC16E}"/>
  <tableColumns count="5">
    <tableColumn id="1" xr3:uid="{7A08DC44-EF0B-4300-AA1C-0ACDD8408B0F}" name="Columns"/>
    <tableColumn id="2" xr3:uid="{30B22113-3D18-408F-9050-40516E2B9FE9}" name="NULL"/>
    <tableColumn id="3" xr3:uid="{544AC636-8693-4DFE-B8DB-CC6D23B2D59A}" name="AVE"/>
    <tableColumn id="4" xr3:uid="{D555FF3E-442F-441C-BA42-9F615F6506C2}" name="MEDIAN"/>
    <tableColumn id="5" xr3:uid="{A8C5B7D3-D510-4208-AA96-CEE2D7733127}" name="MODE"/>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EE4B608-CB58-4FF5-B908-0FF62D734190}" name="Table8" displayName="Table8" ref="Q3:R6" totalsRowShown="0">
  <autoFilter ref="Q3:R6" xr:uid="{EEE4B608-CB58-4FF5-B908-0FF62D734190}"/>
  <tableColumns count="2">
    <tableColumn id="1" xr3:uid="{F4CDCC3F-9C76-4D4D-B232-AB154B0AA342}" name="KPIS"/>
    <tableColumn id="2" xr3:uid="{74191085-3A65-473F-83CF-193067155408}"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4CAB8-54B8-4B7C-B894-27EE9601DF47}">
  <dimension ref="A1"/>
  <sheetViews>
    <sheetView workbookViewId="0">
      <selection activeCell="B27" sqref="B27"/>
    </sheetView>
  </sheetViews>
  <sheetFormatPr defaultRowHeight="15" x14ac:dyDescent="0.25"/>
  <cols>
    <col min="1" max="16384" width="9.140625" style="3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5"/>
  <sheetViews>
    <sheetView workbookViewId="0"/>
  </sheetViews>
  <sheetFormatPr defaultRowHeight="15" x14ac:dyDescent="0.25"/>
  <cols>
    <col min="1" max="1" width="22.7109375" customWidth="1"/>
    <col min="2" max="2" width="24.5703125" customWidth="1"/>
    <col min="3" max="3" width="28.42578125" customWidth="1"/>
    <col min="4" max="4" width="24.5703125" customWidth="1"/>
    <col min="5" max="5" width="23.42578125" customWidth="1"/>
    <col min="6" max="6" width="18.28515625" customWidth="1"/>
    <col min="7" max="7" width="16.7109375" customWidth="1"/>
    <col min="8" max="8" width="22.28515625" customWidth="1"/>
    <col min="9" max="9" width="27.140625" customWidth="1"/>
    <col min="10" max="10" width="25" customWidth="1"/>
    <col min="11" max="11" width="19.140625"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v>60</v>
      </c>
      <c r="F2">
        <v>3</v>
      </c>
      <c r="G2">
        <v>180</v>
      </c>
      <c r="H2" t="s">
        <v>15</v>
      </c>
      <c r="I2" t="s">
        <v>16</v>
      </c>
      <c r="J2" t="s">
        <v>17</v>
      </c>
      <c r="K2" t="s">
        <v>18</v>
      </c>
    </row>
    <row r="3" spans="1:11" x14ac:dyDescent="0.25">
      <c r="A3" t="s">
        <v>19</v>
      </c>
      <c r="B3" t="s">
        <v>20</v>
      </c>
      <c r="C3" t="s">
        <v>21</v>
      </c>
      <c r="D3" t="s">
        <v>22</v>
      </c>
      <c r="E3">
        <v>100</v>
      </c>
      <c r="F3">
        <v>4</v>
      </c>
      <c r="G3">
        <v>400</v>
      </c>
      <c r="H3" t="s">
        <v>23</v>
      </c>
      <c r="I3" t="s">
        <v>24</v>
      </c>
      <c r="J3" t="s">
        <v>17</v>
      </c>
      <c r="K3" t="s">
        <v>25</v>
      </c>
    </row>
    <row r="4" spans="1:11" x14ac:dyDescent="0.25">
      <c r="A4" t="s">
        <v>26</v>
      </c>
      <c r="B4" t="s">
        <v>27</v>
      </c>
      <c r="C4" t="s">
        <v>13</v>
      </c>
      <c r="D4" t="s">
        <v>14</v>
      </c>
      <c r="E4">
        <v>60</v>
      </c>
      <c r="F4">
        <v>2</v>
      </c>
      <c r="G4">
        <v>120</v>
      </c>
      <c r="H4" t="s">
        <v>28</v>
      </c>
      <c r="I4" t="s">
        <v>29</v>
      </c>
      <c r="J4" t="s">
        <v>30</v>
      </c>
      <c r="K4" t="s">
        <v>18</v>
      </c>
    </row>
    <row r="5" spans="1:11" x14ac:dyDescent="0.25">
      <c r="A5" t="s">
        <v>31</v>
      </c>
      <c r="B5" t="s">
        <v>32</v>
      </c>
      <c r="C5" t="s">
        <v>13</v>
      </c>
      <c r="D5" t="s">
        <v>14</v>
      </c>
      <c r="E5">
        <v>60</v>
      </c>
      <c r="F5">
        <v>3</v>
      </c>
      <c r="G5">
        <v>180</v>
      </c>
      <c r="H5" t="s">
        <v>33</v>
      </c>
      <c r="I5" t="s">
        <v>34</v>
      </c>
      <c r="J5" t="s">
        <v>35</v>
      </c>
      <c r="K5" t="s">
        <v>25</v>
      </c>
    </row>
    <row r="6" spans="1:11" x14ac:dyDescent="0.25">
      <c r="A6" t="s">
        <v>36</v>
      </c>
      <c r="B6" s="1">
        <v>45933</v>
      </c>
      <c r="C6" t="s">
        <v>37</v>
      </c>
      <c r="D6" t="s">
        <v>22</v>
      </c>
      <c r="E6">
        <v>150</v>
      </c>
      <c r="F6">
        <v>3</v>
      </c>
      <c r="G6">
        <v>450</v>
      </c>
      <c r="H6" t="s">
        <v>15</v>
      </c>
      <c r="I6" t="s">
        <v>16</v>
      </c>
      <c r="J6" t="s">
        <v>17</v>
      </c>
      <c r="K6" t="s">
        <v>25</v>
      </c>
    </row>
    <row r="7" spans="1:11" x14ac:dyDescent="0.25">
      <c r="A7" t="s">
        <v>38</v>
      </c>
      <c r="B7" t="s">
        <v>12</v>
      </c>
      <c r="C7" t="s">
        <v>39</v>
      </c>
      <c r="D7" t="s">
        <v>40</v>
      </c>
      <c r="E7">
        <v>20</v>
      </c>
      <c r="F7">
        <v>1</v>
      </c>
      <c r="G7">
        <v>20</v>
      </c>
      <c r="H7" t="s">
        <v>28</v>
      </c>
      <c r="I7" t="s">
        <v>34</v>
      </c>
      <c r="J7" t="s">
        <v>35</v>
      </c>
      <c r="K7" t="s">
        <v>25</v>
      </c>
    </row>
    <row r="8" spans="1:11" x14ac:dyDescent="0.25">
      <c r="A8" t="s">
        <v>41</v>
      </c>
      <c r="B8" t="s">
        <v>42</v>
      </c>
      <c r="C8" t="s">
        <v>37</v>
      </c>
      <c r="D8" t="s">
        <v>22</v>
      </c>
      <c r="E8">
        <v>150</v>
      </c>
      <c r="F8">
        <v>4</v>
      </c>
      <c r="G8">
        <v>600</v>
      </c>
      <c r="H8" t="s">
        <v>15</v>
      </c>
      <c r="I8" t="s">
        <v>43</v>
      </c>
      <c r="J8" t="s">
        <v>44</v>
      </c>
      <c r="K8" t="s">
        <v>45</v>
      </c>
    </row>
    <row r="9" spans="1:11" x14ac:dyDescent="0.25">
      <c r="A9" t="s">
        <v>46</v>
      </c>
      <c r="B9" s="1">
        <v>45691</v>
      </c>
      <c r="C9" t="s">
        <v>47</v>
      </c>
      <c r="D9" t="s">
        <v>22</v>
      </c>
      <c r="E9">
        <v>500</v>
      </c>
      <c r="F9">
        <v>1</v>
      </c>
      <c r="G9">
        <v>500</v>
      </c>
      <c r="H9" t="s">
        <v>48</v>
      </c>
      <c r="I9" t="s">
        <v>49</v>
      </c>
      <c r="J9" t="s">
        <v>44</v>
      </c>
      <c r="K9" t="s">
        <v>45</v>
      </c>
    </row>
    <row r="10" spans="1:11" x14ac:dyDescent="0.25">
      <c r="A10" t="s">
        <v>50</v>
      </c>
      <c r="B10" s="1">
        <v>45872</v>
      </c>
      <c r="C10" t="s">
        <v>39</v>
      </c>
      <c r="D10" t="s">
        <v>40</v>
      </c>
      <c r="E10">
        <v>20</v>
      </c>
      <c r="F10">
        <v>3</v>
      </c>
      <c r="G10">
        <v>60</v>
      </c>
      <c r="H10" t="s">
        <v>48</v>
      </c>
      <c r="I10" t="s">
        <v>51</v>
      </c>
      <c r="J10" t="s">
        <v>44</v>
      </c>
      <c r="K10" t="s">
        <v>45</v>
      </c>
    </row>
    <row r="11" spans="1:11" x14ac:dyDescent="0.25">
      <c r="A11" t="s">
        <v>52</v>
      </c>
      <c r="B11" s="1">
        <v>45994</v>
      </c>
      <c r="C11" t="s">
        <v>47</v>
      </c>
      <c r="D11" t="s">
        <v>22</v>
      </c>
      <c r="E11">
        <v>500</v>
      </c>
      <c r="F11">
        <v>1</v>
      </c>
      <c r="G11">
        <v>500</v>
      </c>
      <c r="H11" t="s">
        <v>23</v>
      </c>
      <c r="I11" t="s">
        <v>24</v>
      </c>
      <c r="J11" t="s">
        <v>35</v>
      </c>
      <c r="K11" t="s">
        <v>18</v>
      </c>
    </row>
    <row r="12" spans="1:11" x14ac:dyDescent="0.25">
      <c r="A12" t="s">
        <v>53</v>
      </c>
      <c r="B12" t="s">
        <v>54</v>
      </c>
      <c r="C12" t="s">
        <v>55</v>
      </c>
      <c r="E12">
        <v>15</v>
      </c>
      <c r="F12">
        <v>2</v>
      </c>
      <c r="G12">
        <v>30</v>
      </c>
      <c r="H12" t="s">
        <v>56</v>
      </c>
      <c r="I12" t="s">
        <v>51</v>
      </c>
      <c r="J12" t="s">
        <v>30</v>
      </c>
      <c r="K12" t="s">
        <v>25</v>
      </c>
    </row>
    <row r="13" spans="1:11" x14ac:dyDescent="0.25">
      <c r="A13" t="s">
        <v>57</v>
      </c>
      <c r="B13" t="s">
        <v>58</v>
      </c>
      <c r="C13" t="s">
        <v>59</v>
      </c>
      <c r="D13" t="s">
        <v>40</v>
      </c>
      <c r="E13">
        <v>40</v>
      </c>
      <c r="G13">
        <v>160</v>
      </c>
      <c r="H13" t="s">
        <v>60</v>
      </c>
      <c r="I13" t="s">
        <v>34</v>
      </c>
      <c r="J13" t="s">
        <v>35</v>
      </c>
      <c r="K13" t="s">
        <v>45</v>
      </c>
    </row>
    <row r="14" spans="1:11" x14ac:dyDescent="0.25">
      <c r="A14" t="s">
        <v>61</v>
      </c>
      <c r="B14" s="1">
        <v>45660</v>
      </c>
      <c r="D14" t="s">
        <v>22</v>
      </c>
      <c r="F14">
        <v>2</v>
      </c>
      <c r="G14">
        <v>1600</v>
      </c>
      <c r="H14" t="s">
        <v>62</v>
      </c>
      <c r="I14" t="s">
        <v>24</v>
      </c>
      <c r="J14" t="s">
        <v>63</v>
      </c>
      <c r="K14" t="s">
        <v>25</v>
      </c>
    </row>
    <row r="15" spans="1:11" x14ac:dyDescent="0.25">
      <c r="A15" t="s">
        <v>64</v>
      </c>
      <c r="B15" s="1">
        <v>45750</v>
      </c>
      <c r="C15" t="s">
        <v>65</v>
      </c>
      <c r="D15" t="s">
        <v>66</v>
      </c>
      <c r="E15">
        <v>600</v>
      </c>
      <c r="F15">
        <v>3</v>
      </c>
      <c r="G15">
        <v>1800</v>
      </c>
      <c r="H15" t="s">
        <v>60</v>
      </c>
      <c r="I15" t="s">
        <v>49</v>
      </c>
      <c r="J15" t="s">
        <v>35</v>
      </c>
      <c r="K15" t="s">
        <v>18</v>
      </c>
    </row>
    <row r="16" spans="1:11" x14ac:dyDescent="0.25">
      <c r="A16" t="s">
        <v>67</v>
      </c>
      <c r="B16" t="s">
        <v>68</v>
      </c>
      <c r="C16" t="s">
        <v>37</v>
      </c>
      <c r="D16" t="s">
        <v>22</v>
      </c>
      <c r="E16">
        <v>150</v>
      </c>
      <c r="F16">
        <v>4</v>
      </c>
      <c r="G16">
        <v>600</v>
      </c>
      <c r="H16" t="s">
        <v>28</v>
      </c>
      <c r="I16" t="s">
        <v>69</v>
      </c>
      <c r="J16" t="s">
        <v>35</v>
      </c>
      <c r="K16" t="s">
        <v>45</v>
      </c>
    </row>
    <row r="17" spans="1:11" x14ac:dyDescent="0.25">
      <c r="A17" t="s">
        <v>70</v>
      </c>
      <c r="B17" t="s">
        <v>71</v>
      </c>
      <c r="C17" t="s">
        <v>72</v>
      </c>
      <c r="D17" t="s">
        <v>66</v>
      </c>
      <c r="F17">
        <v>1</v>
      </c>
      <c r="G17">
        <v>1200</v>
      </c>
      <c r="H17" t="s">
        <v>28</v>
      </c>
      <c r="I17" t="s">
        <v>51</v>
      </c>
      <c r="J17" t="s">
        <v>35</v>
      </c>
      <c r="K17" t="s">
        <v>18</v>
      </c>
    </row>
    <row r="18" spans="1:11" x14ac:dyDescent="0.25">
      <c r="A18" t="s">
        <v>73</v>
      </c>
      <c r="B18" s="1">
        <v>45661</v>
      </c>
      <c r="C18" t="s">
        <v>39</v>
      </c>
      <c r="D18" t="s">
        <v>40</v>
      </c>
      <c r="E18">
        <v>20</v>
      </c>
      <c r="F18">
        <v>1</v>
      </c>
      <c r="G18">
        <v>20</v>
      </c>
      <c r="H18" t="s">
        <v>15</v>
      </c>
      <c r="I18" t="s">
        <v>16</v>
      </c>
      <c r="J18" t="s">
        <v>30</v>
      </c>
      <c r="K18" t="s">
        <v>45</v>
      </c>
    </row>
    <row r="19" spans="1:11" x14ac:dyDescent="0.25">
      <c r="A19" t="s">
        <v>74</v>
      </c>
      <c r="B19" s="1">
        <v>45932</v>
      </c>
      <c r="C19" t="s">
        <v>47</v>
      </c>
      <c r="D19" t="s">
        <v>22</v>
      </c>
      <c r="E19">
        <v>500</v>
      </c>
      <c r="F19">
        <v>2</v>
      </c>
      <c r="G19">
        <v>1000</v>
      </c>
      <c r="H19" t="s">
        <v>60</v>
      </c>
      <c r="I19" t="s">
        <v>75</v>
      </c>
      <c r="J19" t="s">
        <v>30</v>
      </c>
      <c r="K19" t="s">
        <v>45</v>
      </c>
    </row>
    <row r="20" spans="1:11" x14ac:dyDescent="0.25">
      <c r="A20" t="s">
        <v>76</v>
      </c>
      <c r="B20" t="s">
        <v>77</v>
      </c>
      <c r="C20" t="s">
        <v>13</v>
      </c>
      <c r="D20" t="s">
        <v>14</v>
      </c>
      <c r="E20">
        <v>60</v>
      </c>
      <c r="F20">
        <v>3</v>
      </c>
      <c r="G20">
        <v>180</v>
      </c>
      <c r="H20" t="s">
        <v>33</v>
      </c>
      <c r="I20" t="s">
        <v>43</v>
      </c>
      <c r="J20" t="s">
        <v>35</v>
      </c>
      <c r="K20" t="s">
        <v>45</v>
      </c>
    </row>
    <row r="21" spans="1:11" x14ac:dyDescent="0.25">
      <c r="A21" t="s">
        <v>78</v>
      </c>
      <c r="B21" s="1">
        <v>45841</v>
      </c>
      <c r="C21" t="s">
        <v>21</v>
      </c>
      <c r="D21" t="s">
        <v>22</v>
      </c>
      <c r="E21">
        <v>100</v>
      </c>
      <c r="F21">
        <v>4</v>
      </c>
      <c r="G21">
        <v>400</v>
      </c>
      <c r="H21" t="s">
        <v>33</v>
      </c>
      <c r="I21" t="s">
        <v>69</v>
      </c>
      <c r="J21" t="s">
        <v>17</v>
      </c>
      <c r="K21" t="s">
        <v>25</v>
      </c>
    </row>
    <row r="22" spans="1:11" x14ac:dyDescent="0.25">
      <c r="A22" t="s">
        <v>79</v>
      </c>
      <c r="B22" s="1">
        <v>45779</v>
      </c>
      <c r="D22" t="s">
        <v>22</v>
      </c>
      <c r="E22">
        <v>100</v>
      </c>
      <c r="F22">
        <v>3</v>
      </c>
      <c r="G22">
        <v>300</v>
      </c>
      <c r="H22" t="s">
        <v>80</v>
      </c>
      <c r="I22" t="s">
        <v>49</v>
      </c>
      <c r="J22" t="s">
        <v>17</v>
      </c>
      <c r="K22" t="s">
        <v>18</v>
      </c>
    </row>
    <row r="23" spans="1:11" x14ac:dyDescent="0.25">
      <c r="A23" t="s">
        <v>81</v>
      </c>
      <c r="B23" s="1">
        <v>45841</v>
      </c>
      <c r="C23" t="s">
        <v>72</v>
      </c>
      <c r="D23" t="s">
        <v>66</v>
      </c>
      <c r="E23">
        <v>1200</v>
      </c>
      <c r="F23">
        <v>4</v>
      </c>
      <c r="G23">
        <v>4800</v>
      </c>
      <c r="H23" t="s">
        <v>33</v>
      </c>
      <c r="I23" t="s">
        <v>43</v>
      </c>
      <c r="J23" t="s">
        <v>35</v>
      </c>
      <c r="K23" t="s">
        <v>25</v>
      </c>
    </row>
    <row r="24" spans="1:11" x14ac:dyDescent="0.25">
      <c r="A24" t="s">
        <v>82</v>
      </c>
      <c r="B24" t="s">
        <v>83</v>
      </c>
      <c r="C24" t="s">
        <v>55</v>
      </c>
      <c r="D24" t="s">
        <v>84</v>
      </c>
      <c r="E24">
        <v>15</v>
      </c>
      <c r="F24">
        <v>1</v>
      </c>
      <c r="G24">
        <v>15</v>
      </c>
      <c r="H24" t="s">
        <v>15</v>
      </c>
      <c r="I24" t="s">
        <v>43</v>
      </c>
      <c r="J24" t="s">
        <v>35</v>
      </c>
      <c r="K24" t="s">
        <v>25</v>
      </c>
    </row>
    <row r="25" spans="1:11" x14ac:dyDescent="0.25">
      <c r="A25" t="s">
        <v>85</v>
      </c>
      <c r="B25" t="s">
        <v>86</v>
      </c>
      <c r="C25" t="s">
        <v>72</v>
      </c>
      <c r="D25" t="s">
        <v>66</v>
      </c>
      <c r="E25">
        <v>1200</v>
      </c>
      <c r="F25">
        <v>3</v>
      </c>
      <c r="G25">
        <v>3600</v>
      </c>
      <c r="H25" t="s">
        <v>80</v>
      </c>
      <c r="I25" t="s">
        <v>34</v>
      </c>
      <c r="J25" t="s">
        <v>35</v>
      </c>
      <c r="K25" t="s">
        <v>18</v>
      </c>
    </row>
    <row r="26" spans="1:11" x14ac:dyDescent="0.25">
      <c r="A26" t="s">
        <v>87</v>
      </c>
      <c r="B26" s="1">
        <v>45691</v>
      </c>
      <c r="C26" t="s">
        <v>55</v>
      </c>
      <c r="D26" t="s">
        <v>84</v>
      </c>
      <c r="E26">
        <v>15</v>
      </c>
      <c r="F26">
        <v>5</v>
      </c>
      <c r="G26">
        <v>75</v>
      </c>
      <c r="H26" t="s">
        <v>48</v>
      </c>
      <c r="I26" t="s">
        <v>69</v>
      </c>
      <c r="J26" t="s">
        <v>30</v>
      </c>
      <c r="K26" t="s">
        <v>45</v>
      </c>
    </row>
    <row r="27" spans="1:11" x14ac:dyDescent="0.25">
      <c r="A27" t="s">
        <v>88</v>
      </c>
      <c r="B27" t="s">
        <v>89</v>
      </c>
      <c r="C27" t="s">
        <v>65</v>
      </c>
      <c r="D27" t="s">
        <v>66</v>
      </c>
      <c r="E27">
        <v>600</v>
      </c>
      <c r="F27">
        <v>1</v>
      </c>
      <c r="G27">
        <v>600</v>
      </c>
      <c r="H27" t="s">
        <v>33</v>
      </c>
      <c r="I27" t="s">
        <v>51</v>
      </c>
      <c r="J27" t="s">
        <v>17</v>
      </c>
      <c r="K27" t="s">
        <v>18</v>
      </c>
    </row>
    <row r="28" spans="1:11" x14ac:dyDescent="0.25">
      <c r="A28" t="s">
        <v>90</v>
      </c>
      <c r="B28" s="1">
        <v>45840</v>
      </c>
      <c r="C28" t="s">
        <v>39</v>
      </c>
      <c r="E28">
        <v>20</v>
      </c>
      <c r="G28">
        <v>20</v>
      </c>
      <c r="H28" t="s">
        <v>62</v>
      </c>
      <c r="I28" t="s">
        <v>16</v>
      </c>
      <c r="J28" t="s">
        <v>30</v>
      </c>
      <c r="K28" t="s">
        <v>25</v>
      </c>
    </row>
    <row r="29" spans="1:11" x14ac:dyDescent="0.25">
      <c r="A29" t="s">
        <v>91</v>
      </c>
      <c r="B29" s="1">
        <v>45718</v>
      </c>
      <c r="C29" t="s">
        <v>21</v>
      </c>
      <c r="D29" t="s">
        <v>22</v>
      </c>
      <c r="E29">
        <v>100</v>
      </c>
      <c r="F29">
        <v>1</v>
      </c>
      <c r="G29">
        <v>100</v>
      </c>
      <c r="H29" t="s">
        <v>92</v>
      </c>
      <c r="I29" t="s">
        <v>93</v>
      </c>
      <c r="J29" t="s">
        <v>30</v>
      </c>
      <c r="K29" t="s">
        <v>45</v>
      </c>
    </row>
    <row r="30" spans="1:11" x14ac:dyDescent="0.25">
      <c r="A30" t="s">
        <v>94</v>
      </c>
      <c r="B30" s="1">
        <v>45993</v>
      </c>
      <c r="C30" t="s">
        <v>47</v>
      </c>
      <c r="D30" t="s">
        <v>22</v>
      </c>
      <c r="E30">
        <v>500</v>
      </c>
      <c r="F30">
        <v>1</v>
      </c>
      <c r="G30">
        <v>500</v>
      </c>
      <c r="H30" t="s">
        <v>48</v>
      </c>
      <c r="I30" t="s">
        <v>29</v>
      </c>
      <c r="J30" t="s">
        <v>35</v>
      </c>
      <c r="K30" t="s">
        <v>18</v>
      </c>
    </row>
    <row r="31" spans="1:11" x14ac:dyDescent="0.25">
      <c r="A31" t="s">
        <v>95</v>
      </c>
      <c r="B31" s="1">
        <v>45932</v>
      </c>
      <c r="C31" t="s">
        <v>65</v>
      </c>
      <c r="D31" t="s">
        <v>66</v>
      </c>
      <c r="E31">
        <v>600</v>
      </c>
      <c r="F31">
        <v>3</v>
      </c>
      <c r="G31">
        <v>1800</v>
      </c>
      <c r="H31" t="s">
        <v>23</v>
      </c>
      <c r="I31" t="s">
        <v>34</v>
      </c>
      <c r="J31" t="s">
        <v>63</v>
      </c>
      <c r="K31" t="s">
        <v>18</v>
      </c>
    </row>
    <row r="32" spans="1:11" x14ac:dyDescent="0.25">
      <c r="A32" t="s">
        <v>96</v>
      </c>
      <c r="B32" t="s">
        <v>86</v>
      </c>
      <c r="C32" t="s">
        <v>47</v>
      </c>
      <c r="D32" t="s">
        <v>22</v>
      </c>
      <c r="F32">
        <v>1</v>
      </c>
      <c r="G32">
        <v>500</v>
      </c>
      <c r="H32" t="s">
        <v>28</v>
      </c>
      <c r="I32" t="s">
        <v>43</v>
      </c>
      <c r="J32" t="s">
        <v>63</v>
      </c>
      <c r="K32" t="s">
        <v>25</v>
      </c>
    </row>
    <row r="33" spans="1:11" x14ac:dyDescent="0.25">
      <c r="A33" t="s">
        <v>97</v>
      </c>
      <c r="B33" s="1">
        <v>45933</v>
      </c>
      <c r="C33" t="s">
        <v>47</v>
      </c>
      <c r="D33" t="s">
        <v>22</v>
      </c>
      <c r="E33">
        <v>500</v>
      </c>
      <c r="F33">
        <v>4</v>
      </c>
      <c r="G33">
        <v>2000</v>
      </c>
      <c r="H33" t="s">
        <v>60</v>
      </c>
      <c r="I33" t="s">
        <v>69</v>
      </c>
      <c r="J33" t="s">
        <v>44</v>
      </c>
      <c r="K33" t="s">
        <v>25</v>
      </c>
    </row>
    <row r="34" spans="1:11" x14ac:dyDescent="0.25">
      <c r="A34" t="s">
        <v>98</v>
      </c>
      <c r="B34" s="1">
        <v>45749</v>
      </c>
      <c r="D34" t="s">
        <v>84</v>
      </c>
      <c r="E34">
        <v>15</v>
      </c>
      <c r="F34">
        <v>1</v>
      </c>
      <c r="G34">
        <v>15</v>
      </c>
      <c r="H34" t="s">
        <v>33</v>
      </c>
      <c r="I34" t="s">
        <v>16</v>
      </c>
      <c r="J34" t="s">
        <v>17</v>
      </c>
      <c r="K34" t="s">
        <v>18</v>
      </c>
    </row>
    <row r="35" spans="1:11" x14ac:dyDescent="0.25">
      <c r="A35" t="s">
        <v>99</v>
      </c>
      <c r="B35" s="1">
        <v>45692</v>
      </c>
      <c r="C35" t="s">
        <v>39</v>
      </c>
      <c r="D35" t="s">
        <v>40</v>
      </c>
      <c r="E35">
        <v>20</v>
      </c>
      <c r="F35">
        <v>5</v>
      </c>
      <c r="G35">
        <v>100</v>
      </c>
      <c r="H35" t="s">
        <v>92</v>
      </c>
      <c r="I35" t="s">
        <v>16</v>
      </c>
      <c r="J35" t="s">
        <v>35</v>
      </c>
      <c r="K35" t="s">
        <v>25</v>
      </c>
    </row>
    <row r="36" spans="1:11" x14ac:dyDescent="0.25">
      <c r="A36" t="s">
        <v>100</v>
      </c>
      <c r="B36" s="1">
        <v>45692</v>
      </c>
      <c r="C36" t="s">
        <v>101</v>
      </c>
      <c r="D36" t="s">
        <v>22</v>
      </c>
      <c r="E36">
        <v>800</v>
      </c>
      <c r="F36">
        <v>3</v>
      </c>
      <c r="G36">
        <v>2400</v>
      </c>
      <c r="H36" t="s">
        <v>15</v>
      </c>
      <c r="I36" t="s">
        <v>29</v>
      </c>
      <c r="J36" t="s">
        <v>30</v>
      </c>
      <c r="K36" t="s">
        <v>45</v>
      </c>
    </row>
    <row r="37" spans="1:11" x14ac:dyDescent="0.25">
      <c r="A37" t="s">
        <v>102</v>
      </c>
      <c r="B37" s="1">
        <v>45902</v>
      </c>
      <c r="C37" t="s">
        <v>72</v>
      </c>
      <c r="D37" t="s">
        <v>66</v>
      </c>
      <c r="E37">
        <v>1200</v>
      </c>
      <c r="F37">
        <v>2</v>
      </c>
      <c r="G37">
        <v>2400</v>
      </c>
      <c r="H37" t="s">
        <v>48</v>
      </c>
      <c r="I37" t="s">
        <v>51</v>
      </c>
      <c r="J37" t="s">
        <v>44</v>
      </c>
      <c r="K37" t="s">
        <v>18</v>
      </c>
    </row>
    <row r="38" spans="1:11" x14ac:dyDescent="0.25">
      <c r="A38" t="s">
        <v>103</v>
      </c>
      <c r="B38" t="s">
        <v>104</v>
      </c>
      <c r="C38" t="s">
        <v>21</v>
      </c>
      <c r="D38" t="s">
        <v>22</v>
      </c>
      <c r="E38">
        <v>100</v>
      </c>
      <c r="F38">
        <v>3</v>
      </c>
      <c r="G38">
        <v>300</v>
      </c>
      <c r="H38" t="s">
        <v>60</v>
      </c>
      <c r="I38" t="s">
        <v>16</v>
      </c>
      <c r="J38" t="s">
        <v>17</v>
      </c>
      <c r="K38" t="s">
        <v>18</v>
      </c>
    </row>
    <row r="39" spans="1:11" x14ac:dyDescent="0.25">
      <c r="A39" t="s">
        <v>105</v>
      </c>
      <c r="B39" t="s">
        <v>106</v>
      </c>
      <c r="C39" t="s">
        <v>101</v>
      </c>
      <c r="D39" t="s">
        <v>22</v>
      </c>
      <c r="E39">
        <v>800</v>
      </c>
      <c r="F39">
        <v>3</v>
      </c>
      <c r="G39">
        <v>2400</v>
      </c>
      <c r="H39" t="s">
        <v>33</v>
      </c>
      <c r="I39" t="s">
        <v>93</v>
      </c>
      <c r="J39" t="s">
        <v>30</v>
      </c>
      <c r="K39" t="s">
        <v>45</v>
      </c>
    </row>
    <row r="40" spans="1:11" x14ac:dyDescent="0.25">
      <c r="A40" t="s">
        <v>107</v>
      </c>
      <c r="B40" s="1">
        <v>45691</v>
      </c>
      <c r="C40" t="s">
        <v>101</v>
      </c>
      <c r="E40">
        <v>800</v>
      </c>
      <c r="F40">
        <v>2</v>
      </c>
      <c r="G40">
        <v>1600</v>
      </c>
      <c r="H40" t="s">
        <v>33</v>
      </c>
      <c r="I40" t="s">
        <v>24</v>
      </c>
      <c r="J40" t="s">
        <v>44</v>
      </c>
      <c r="K40" t="s">
        <v>45</v>
      </c>
    </row>
    <row r="41" spans="1:11" x14ac:dyDescent="0.25">
      <c r="A41" t="s">
        <v>108</v>
      </c>
      <c r="B41" t="s">
        <v>106</v>
      </c>
      <c r="C41" t="s">
        <v>37</v>
      </c>
      <c r="D41" t="s">
        <v>22</v>
      </c>
      <c r="E41">
        <v>150</v>
      </c>
      <c r="F41">
        <v>1</v>
      </c>
      <c r="G41">
        <v>150</v>
      </c>
      <c r="H41" t="s">
        <v>23</v>
      </c>
      <c r="I41" t="s">
        <v>69</v>
      </c>
      <c r="J41" t="s">
        <v>63</v>
      </c>
      <c r="K41" t="s">
        <v>25</v>
      </c>
    </row>
    <row r="42" spans="1:11" x14ac:dyDescent="0.25">
      <c r="A42" t="s">
        <v>109</v>
      </c>
      <c r="B42" t="s">
        <v>68</v>
      </c>
      <c r="C42" t="s">
        <v>55</v>
      </c>
      <c r="D42" t="s">
        <v>84</v>
      </c>
      <c r="E42">
        <v>15</v>
      </c>
      <c r="F42">
        <v>1</v>
      </c>
      <c r="G42">
        <v>15</v>
      </c>
      <c r="H42" t="s">
        <v>92</v>
      </c>
      <c r="I42" t="s">
        <v>49</v>
      </c>
      <c r="J42" t="s">
        <v>35</v>
      </c>
      <c r="K42" t="s">
        <v>18</v>
      </c>
    </row>
    <row r="43" spans="1:11" x14ac:dyDescent="0.25">
      <c r="A43" t="s">
        <v>110</v>
      </c>
      <c r="B43" t="s">
        <v>111</v>
      </c>
      <c r="D43" t="s">
        <v>22</v>
      </c>
      <c r="E43">
        <v>100</v>
      </c>
      <c r="F43">
        <v>3</v>
      </c>
      <c r="G43">
        <v>300</v>
      </c>
      <c r="H43" t="s">
        <v>92</v>
      </c>
      <c r="I43" t="s">
        <v>93</v>
      </c>
      <c r="J43" t="s">
        <v>30</v>
      </c>
      <c r="K43" t="s">
        <v>18</v>
      </c>
    </row>
    <row r="44" spans="1:11" x14ac:dyDescent="0.25">
      <c r="A44" t="s">
        <v>112</v>
      </c>
      <c r="B44" s="1">
        <v>45871</v>
      </c>
      <c r="C44" t="s">
        <v>39</v>
      </c>
      <c r="D44" t="s">
        <v>40</v>
      </c>
      <c r="G44">
        <v>80</v>
      </c>
      <c r="H44" t="s">
        <v>92</v>
      </c>
      <c r="I44" t="s">
        <v>29</v>
      </c>
      <c r="J44" t="s">
        <v>35</v>
      </c>
      <c r="K44" t="s">
        <v>25</v>
      </c>
    </row>
    <row r="45" spans="1:11" x14ac:dyDescent="0.25">
      <c r="A45" t="s">
        <v>113</v>
      </c>
      <c r="B45" t="s">
        <v>86</v>
      </c>
      <c r="C45" t="s">
        <v>37</v>
      </c>
      <c r="D45" t="s">
        <v>22</v>
      </c>
      <c r="E45">
        <v>150</v>
      </c>
      <c r="F45">
        <v>1</v>
      </c>
      <c r="G45">
        <v>150</v>
      </c>
      <c r="H45" t="s">
        <v>80</v>
      </c>
      <c r="I45" t="s">
        <v>43</v>
      </c>
      <c r="J45" t="s">
        <v>17</v>
      </c>
      <c r="K45" t="s">
        <v>25</v>
      </c>
    </row>
    <row r="46" spans="1:11" x14ac:dyDescent="0.25">
      <c r="A46" t="s">
        <v>114</v>
      </c>
      <c r="B46" t="s">
        <v>115</v>
      </c>
      <c r="C46" t="s">
        <v>72</v>
      </c>
      <c r="D46" t="s">
        <v>66</v>
      </c>
      <c r="E46">
        <v>1200</v>
      </c>
      <c r="F46">
        <v>3</v>
      </c>
      <c r="G46">
        <v>3600</v>
      </c>
      <c r="H46" t="s">
        <v>62</v>
      </c>
      <c r="I46" t="s">
        <v>16</v>
      </c>
      <c r="J46" t="s">
        <v>35</v>
      </c>
      <c r="K46" t="s">
        <v>25</v>
      </c>
    </row>
    <row r="47" spans="1:11" x14ac:dyDescent="0.25">
      <c r="A47" t="s">
        <v>116</v>
      </c>
      <c r="B47" s="1">
        <v>45811</v>
      </c>
      <c r="C47" t="s">
        <v>13</v>
      </c>
      <c r="D47" t="s">
        <v>14</v>
      </c>
      <c r="E47">
        <v>60</v>
      </c>
      <c r="F47">
        <v>2</v>
      </c>
      <c r="G47">
        <v>120</v>
      </c>
      <c r="H47" t="s">
        <v>56</v>
      </c>
      <c r="I47" t="s">
        <v>43</v>
      </c>
      <c r="J47" t="s">
        <v>17</v>
      </c>
      <c r="K47" t="s">
        <v>18</v>
      </c>
    </row>
    <row r="48" spans="1:11" x14ac:dyDescent="0.25">
      <c r="A48" t="s">
        <v>117</v>
      </c>
      <c r="B48" t="s">
        <v>106</v>
      </c>
      <c r="C48" t="s">
        <v>39</v>
      </c>
      <c r="D48" t="s">
        <v>40</v>
      </c>
      <c r="E48">
        <v>20</v>
      </c>
      <c r="F48">
        <v>2</v>
      </c>
      <c r="G48">
        <v>40</v>
      </c>
      <c r="H48" t="s">
        <v>80</v>
      </c>
      <c r="I48" t="s">
        <v>49</v>
      </c>
      <c r="J48" t="s">
        <v>63</v>
      </c>
      <c r="K48" t="s">
        <v>18</v>
      </c>
    </row>
    <row r="49" spans="1:11" x14ac:dyDescent="0.25">
      <c r="A49" t="s">
        <v>118</v>
      </c>
      <c r="B49" s="1">
        <v>45963</v>
      </c>
      <c r="C49" t="s">
        <v>39</v>
      </c>
      <c r="D49" t="s">
        <v>40</v>
      </c>
      <c r="E49">
        <v>20</v>
      </c>
      <c r="F49">
        <v>5</v>
      </c>
      <c r="G49">
        <v>100</v>
      </c>
      <c r="H49" t="s">
        <v>92</v>
      </c>
      <c r="I49" t="s">
        <v>29</v>
      </c>
      <c r="J49" t="s">
        <v>30</v>
      </c>
      <c r="K49" t="s">
        <v>45</v>
      </c>
    </row>
    <row r="50" spans="1:11" x14ac:dyDescent="0.25">
      <c r="A50" t="s">
        <v>119</v>
      </c>
      <c r="B50" t="s">
        <v>120</v>
      </c>
      <c r="C50" t="s">
        <v>47</v>
      </c>
      <c r="D50" t="s">
        <v>22</v>
      </c>
      <c r="F50">
        <v>4</v>
      </c>
      <c r="G50">
        <v>2000</v>
      </c>
      <c r="H50" t="s">
        <v>15</v>
      </c>
      <c r="I50" t="s">
        <v>93</v>
      </c>
      <c r="J50" t="s">
        <v>17</v>
      </c>
      <c r="K50" t="s">
        <v>45</v>
      </c>
    </row>
    <row r="51" spans="1:11" x14ac:dyDescent="0.25">
      <c r="A51" t="s">
        <v>121</v>
      </c>
      <c r="B51" t="s">
        <v>12</v>
      </c>
      <c r="C51" t="s">
        <v>59</v>
      </c>
      <c r="D51" t="s">
        <v>40</v>
      </c>
      <c r="E51">
        <v>40</v>
      </c>
      <c r="F51">
        <v>3</v>
      </c>
      <c r="G51">
        <v>120</v>
      </c>
      <c r="H51" t="s">
        <v>28</v>
      </c>
      <c r="I51" t="s">
        <v>51</v>
      </c>
      <c r="J51" t="s">
        <v>63</v>
      </c>
      <c r="K51" t="s">
        <v>45</v>
      </c>
    </row>
    <row r="52" spans="1:11" x14ac:dyDescent="0.25">
      <c r="A52" t="s">
        <v>122</v>
      </c>
      <c r="B52" t="s">
        <v>32</v>
      </c>
      <c r="C52" t="s">
        <v>55</v>
      </c>
      <c r="D52" t="s">
        <v>84</v>
      </c>
      <c r="E52">
        <v>15</v>
      </c>
      <c r="F52">
        <v>1</v>
      </c>
      <c r="G52">
        <v>15</v>
      </c>
      <c r="H52" t="s">
        <v>15</v>
      </c>
      <c r="I52" t="s">
        <v>43</v>
      </c>
      <c r="J52" t="s">
        <v>63</v>
      </c>
      <c r="K52" t="s">
        <v>18</v>
      </c>
    </row>
    <row r="53" spans="1:11" x14ac:dyDescent="0.25">
      <c r="A53" t="s">
        <v>123</v>
      </c>
      <c r="B53" t="s">
        <v>124</v>
      </c>
      <c r="C53" t="s">
        <v>101</v>
      </c>
      <c r="D53" t="s">
        <v>22</v>
      </c>
      <c r="E53">
        <v>800</v>
      </c>
      <c r="F53">
        <v>3</v>
      </c>
      <c r="G53">
        <v>2400</v>
      </c>
      <c r="H53" t="s">
        <v>28</v>
      </c>
      <c r="I53" t="s">
        <v>24</v>
      </c>
      <c r="J53" t="s">
        <v>35</v>
      </c>
      <c r="K53" t="s">
        <v>25</v>
      </c>
    </row>
    <row r="54" spans="1:11" x14ac:dyDescent="0.25">
      <c r="A54" t="s">
        <v>125</v>
      </c>
      <c r="B54" t="s">
        <v>86</v>
      </c>
      <c r="C54" t="s">
        <v>13</v>
      </c>
      <c r="D54" t="s">
        <v>14</v>
      </c>
      <c r="E54">
        <v>60</v>
      </c>
      <c r="F54">
        <v>4</v>
      </c>
      <c r="G54">
        <v>240</v>
      </c>
      <c r="H54" t="s">
        <v>23</v>
      </c>
      <c r="I54" t="s">
        <v>75</v>
      </c>
      <c r="J54" t="s">
        <v>44</v>
      </c>
      <c r="K54" t="s">
        <v>45</v>
      </c>
    </row>
    <row r="55" spans="1:11" x14ac:dyDescent="0.25">
      <c r="A55" t="s">
        <v>126</v>
      </c>
      <c r="B55" t="s">
        <v>115</v>
      </c>
      <c r="C55" t="s">
        <v>37</v>
      </c>
      <c r="D55" t="s">
        <v>22</v>
      </c>
      <c r="E55">
        <v>150</v>
      </c>
      <c r="F55">
        <v>3</v>
      </c>
      <c r="G55">
        <v>450</v>
      </c>
      <c r="H55" t="s">
        <v>56</v>
      </c>
      <c r="I55" t="s">
        <v>51</v>
      </c>
      <c r="J55" t="s">
        <v>63</v>
      </c>
      <c r="K55" t="s">
        <v>25</v>
      </c>
    </row>
    <row r="56" spans="1:11" x14ac:dyDescent="0.25">
      <c r="A56" t="s">
        <v>127</v>
      </c>
      <c r="B56" t="s">
        <v>115</v>
      </c>
      <c r="C56" t="s">
        <v>59</v>
      </c>
      <c r="E56">
        <v>40</v>
      </c>
      <c r="F56">
        <v>2</v>
      </c>
      <c r="G56">
        <v>80</v>
      </c>
      <c r="H56" t="s">
        <v>48</v>
      </c>
      <c r="I56" t="s">
        <v>34</v>
      </c>
      <c r="J56" t="s">
        <v>44</v>
      </c>
      <c r="K56" t="s">
        <v>45</v>
      </c>
    </row>
    <row r="57" spans="1:11" x14ac:dyDescent="0.25">
      <c r="A57" t="s">
        <v>128</v>
      </c>
      <c r="B57" t="s">
        <v>129</v>
      </c>
      <c r="C57" t="s">
        <v>37</v>
      </c>
      <c r="D57" t="s">
        <v>22</v>
      </c>
      <c r="E57">
        <v>150</v>
      </c>
      <c r="F57">
        <v>2</v>
      </c>
      <c r="G57">
        <v>300</v>
      </c>
      <c r="H57" t="s">
        <v>15</v>
      </c>
      <c r="I57" t="s">
        <v>34</v>
      </c>
      <c r="J57" t="s">
        <v>35</v>
      </c>
      <c r="K57" t="s">
        <v>45</v>
      </c>
    </row>
    <row r="58" spans="1:11" x14ac:dyDescent="0.25">
      <c r="A58" t="s">
        <v>130</v>
      </c>
      <c r="B58" t="s">
        <v>115</v>
      </c>
      <c r="C58" t="s">
        <v>47</v>
      </c>
      <c r="D58" t="s">
        <v>22</v>
      </c>
      <c r="E58">
        <v>500</v>
      </c>
      <c r="F58">
        <v>1</v>
      </c>
      <c r="G58">
        <v>500</v>
      </c>
      <c r="H58" t="s">
        <v>92</v>
      </c>
      <c r="I58" t="s">
        <v>75</v>
      </c>
      <c r="J58" t="s">
        <v>17</v>
      </c>
      <c r="K58" t="s">
        <v>18</v>
      </c>
    </row>
    <row r="59" spans="1:11" x14ac:dyDescent="0.25">
      <c r="A59" t="s">
        <v>131</v>
      </c>
      <c r="B59" t="s">
        <v>58</v>
      </c>
      <c r="D59" t="s">
        <v>22</v>
      </c>
      <c r="E59">
        <v>500</v>
      </c>
      <c r="F59">
        <v>1</v>
      </c>
      <c r="G59">
        <v>500</v>
      </c>
      <c r="H59" t="s">
        <v>92</v>
      </c>
      <c r="I59" t="s">
        <v>93</v>
      </c>
      <c r="J59" t="s">
        <v>44</v>
      </c>
      <c r="K59" t="s">
        <v>18</v>
      </c>
    </row>
    <row r="60" spans="1:11" x14ac:dyDescent="0.25">
      <c r="A60" t="s">
        <v>132</v>
      </c>
      <c r="B60" s="1">
        <v>45661</v>
      </c>
      <c r="C60" t="s">
        <v>37</v>
      </c>
      <c r="D60" t="s">
        <v>22</v>
      </c>
      <c r="E60">
        <v>150</v>
      </c>
      <c r="F60">
        <v>2</v>
      </c>
      <c r="G60">
        <v>300</v>
      </c>
      <c r="H60" t="s">
        <v>62</v>
      </c>
      <c r="I60" t="s">
        <v>34</v>
      </c>
      <c r="J60" t="s">
        <v>35</v>
      </c>
      <c r="K60" t="s">
        <v>18</v>
      </c>
    </row>
    <row r="61" spans="1:11" x14ac:dyDescent="0.25">
      <c r="A61" t="s">
        <v>133</v>
      </c>
      <c r="B61" s="1">
        <v>45994</v>
      </c>
      <c r="C61" t="s">
        <v>55</v>
      </c>
      <c r="D61" t="s">
        <v>84</v>
      </c>
      <c r="E61">
        <v>15</v>
      </c>
      <c r="F61">
        <v>5</v>
      </c>
      <c r="G61">
        <v>75</v>
      </c>
      <c r="H61" t="s">
        <v>92</v>
      </c>
      <c r="I61" t="s">
        <v>34</v>
      </c>
      <c r="J61" t="s">
        <v>35</v>
      </c>
      <c r="K61" t="s">
        <v>25</v>
      </c>
    </row>
    <row r="62" spans="1:11" x14ac:dyDescent="0.25">
      <c r="A62" t="s">
        <v>134</v>
      </c>
      <c r="B62" s="1">
        <v>45964</v>
      </c>
      <c r="C62" t="s">
        <v>72</v>
      </c>
      <c r="D62" t="s">
        <v>66</v>
      </c>
      <c r="G62">
        <v>1200</v>
      </c>
      <c r="H62" t="s">
        <v>92</v>
      </c>
      <c r="I62" t="s">
        <v>16</v>
      </c>
      <c r="J62" t="s">
        <v>44</v>
      </c>
      <c r="K62" t="s">
        <v>18</v>
      </c>
    </row>
    <row r="63" spans="1:11" x14ac:dyDescent="0.25">
      <c r="A63" t="s">
        <v>135</v>
      </c>
      <c r="B63" s="1">
        <v>45932</v>
      </c>
      <c r="C63" t="s">
        <v>101</v>
      </c>
      <c r="D63" t="s">
        <v>22</v>
      </c>
      <c r="E63">
        <v>800</v>
      </c>
      <c r="F63">
        <v>5</v>
      </c>
      <c r="G63">
        <v>4000</v>
      </c>
      <c r="H63" t="s">
        <v>33</v>
      </c>
      <c r="I63" t="s">
        <v>24</v>
      </c>
      <c r="J63" t="s">
        <v>44</v>
      </c>
      <c r="K63" t="s">
        <v>45</v>
      </c>
    </row>
    <row r="64" spans="1:11" x14ac:dyDescent="0.25">
      <c r="A64" t="s">
        <v>136</v>
      </c>
      <c r="B64" t="s">
        <v>137</v>
      </c>
      <c r="C64" t="s">
        <v>47</v>
      </c>
      <c r="D64" t="s">
        <v>22</v>
      </c>
      <c r="E64">
        <v>500</v>
      </c>
      <c r="F64">
        <v>5</v>
      </c>
      <c r="G64">
        <v>2500</v>
      </c>
      <c r="H64" t="s">
        <v>15</v>
      </c>
      <c r="I64" t="s">
        <v>49</v>
      </c>
      <c r="J64" t="s">
        <v>63</v>
      </c>
      <c r="K64" t="s">
        <v>45</v>
      </c>
    </row>
    <row r="65" spans="1:11" x14ac:dyDescent="0.25">
      <c r="A65" t="s">
        <v>138</v>
      </c>
      <c r="B65" t="s">
        <v>139</v>
      </c>
      <c r="C65" t="s">
        <v>72</v>
      </c>
      <c r="E65">
        <v>1200</v>
      </c>
      <c r="F65">
        <v>4</v>
      </c>
      <c r="G65">
        <v>4800</v>
      </c>
      <c r="H65" t="s">
        <v>23</v>
      </c>
      <c r="I65" t="s">
        <v>29</v>
      </c>
      <c r="J65" t="s">
        <v>44</v>
      </c>
      <c r="K65" t="s">
        <v>25</v>
      </c>
    </row>
    <row r="66" spans="1:11" x14ac:dyDescent="0.25">
      <c r="A66" t="s">
        <v>140</v>
      </c>
      <c r="B66" t="s">
        <v>141</v>
      </c>
      <c r="C66" t="s">
        <v>55</v>
      </c>
      <c r="D66" t="s">
        <v>84</v>
      </c>
      <c r="E66">
        <v>15</v>
      </c>
      <c r="F66">
        <v>3</v>
      </c>
      <c r="G66">
        <v>45</v>
      </c>
      <c r="H66" t="s">
        <v>15</v>
      </c>
      <c r="I66" t="s">
        <v>24</v>
      </c>
      <c r="J66" t="s">
        <v>30</v>
      </c>
      <c r="K66" t="s">
        <v>25</v>
      </c>
    </row>
    <row r="67" spans="1:11" x14ac:dyDescent="0.25">
      <c r="A67" t="s">
        <v>142</v>
      </c>
      <c r="B67" t="s">
        <v>12</v>
      </c>
      <c r="C67" t="s">
        <v>37</v>
      </c>
      <c r="D67" t="s">
        <v>22</v>
      </c>
      <c r="E67">
        <v>150</v>
      </c>
      <c r="F67">
        <v>2</v>
      </c>
      <c r="G67">
        <v>300</v>
      </c>
      <c r="H67" t="s">
        <v>60</v>
      </c>
      <c r="I67" t="s">
        <v>29</v>
      </c>
      <c r="J67" t="s">
        <v>44</v>
      </c>
      <c r="K67" t="s">
        <v>25</v>
      </c>
    </row>
    <row r="68" spans="1:11" x14ac:dyDescent="0.25">
      <c r="A68" t="s">
        <v>143</v>
      </c>
      <c r="B68" t="s">
        <v>144</v>
      </c>
      <c r="C68" t="s">
        <v>21</v>
      </c>
      <c r="D68" t="s">
        <v>22</v>
      </c>
      <c r="E68">
        <v>100</v>
      </c>
      <c r="F68">
        <v>3</v>
      </c>
      <c r="G68">
        <v>300</v>
      </c>
      <c r="H68" t="s">
        <v>80</v>
      </c>
      <c r="I68" t="s">
        <v>16</v>
      </c>
      <c r="J68" t="s">
        <v>17</v>
      </c>
      <c r="K68" t="s">
        <v>25</v>
      </c>
    </row>
    <row r="69" spans="1:11" x14ac:dyDescent="0.25">
      <c r="A69" t="s">
        <v>145</v>
      </c>
      <c r="B69" t="s">
        <v>83</v>
      </c>
      <c r="C69" t="s">
        <v>21</v>
      </c>
      <c r="D69" t="s">
        <v>22</v>
      </c>
      <c r="E69">
        <v>100</v>
      </c>
      <c r="F69">
        <v>1</v>
      </c>
      <c r="G69">
        <v>100</v>
      </c>
      <c r="H69" t="s">
        <v>56</v>
      </c>
      <c r="I69" t="s">
        <v>43</v>
      </c>
      <c r="J69" t="s">
        <v>17</v>
      </c>
      <c r="K69" t="s">
        <v>18</v>
      </c>
    </row>
    <row r="70" spans="1:11" x14ac:dyDescent="0.25">
      <c r="A70" t="s">
        <v>146</v>
      </c>
      <c r="B70" t="s">
        <v>147</v>
      </c>
      <c r="C70" t="s">
        <v>72</v>
      </c>
      <c r="D70" t="s">
        <v>66</v>
      </c>
      <c r="E70">
        <v>1200</v>
      </c>
      <c r="F70">
        <v>4</v>
      </c>
      <c r="G70">
        <v>4800</v>
      </c>
      <c r="H70" t="s">
        <v>56</v>
      </c>
      <c r="I70" t="s">
        <v>51</v>
      </c>
      <c r="J70" t="s">
        <v>63</v>
      </c>
      <c r="K70" t="s">
        <v>25</v>
      </c>
    </row>
    <row r="71" spans="1:11" x14ac:dyDescent="0.25">
      <c r="A71" t="s">
        <v>148</v>
      </c>
      <c r="B71" s="1">
        <v>45933</v>
      </c>
      <c r="C71" t="s">
        <v>55</v>
      </c>
      <c r="D71" t="s">
        <v>84</v>
      </c>
      <c r="F71">
        <v>1</v>
      </c>
      <c r="G71">
        <v>15</v>
      </c>
      <c r="H71" t="s">
        <v>23</v>
      </c>
      <c r="I71" t="s">
        <v>51</v>
      </c>
      <c r="J71" t="s">
        <v>35</v>
      </c>
      <c r="K71" t="s">
        <v>45</v>
      </c>
    </row>
    <row r="72" spans="1:11" x14ac:dyDescent="0.25">
      <c r="A72" t="s">
        <v>149</v>
      </c>
      <c r="B72" t="s">
        <v>141</v>
      </c>
      <c r="C72" t="s">
        <v>37</v>
      </c>
      <c r="D72" t="s">
        <v>22</v>
      </c>
      <c r="E72">
        <v>150</v>
      </c>
      <c r="F72">
        <v>5</v>
      </c>
      <c r="G72">
        <v>750</v>
      </c>
      <c r="H72" t="s">
        <v>28</v>
      </c>
      <c r="I72" t="s">
        <v>29</v>
      </c>
      <c r="J72" t="s">
        <v>35</v>
      </c>
      <c r="K72" t="s">
        <v>25</v>
      </c>
    </row>
    <row r="73" spans="1:11" x14ac:dyDescent="0.25">
      <c r="A73" t="s">
        <v>150</v>
      </c>
      <c r="B73" s="1">
        <v>45841</v>
      </c>
      <c r="C73" t="s">
        <v>101</v>
      </c>
      <c r="D73" t="s">
        <v>22</v>
      </c>
      <c r="E73">
        <v>800</v>
      </c>
      <c r="F73">
        <v>3</v>
      </c>
      <c r="G73">
        <v>2400</v>
      </c>
      <c r="H73" t="s">
        <v>62</v>
      </c>
      <c r="I73" t="s">
        <v>43</v>
      </c>
      <c r="J73" t="s">
        <v>35</v>
      </c>
      <c r="K73" t="s">
        <v>25</v>
      </c>
    </row>
    <row r="74" spans="1:11" x14ac:dyDescent="0.25">
      <c r="A74" t="s">
        <v>151</v>
      </c>
      <c r="B74" t="s">
        <v>68</v>
      </c>
      <c r="D74" t="s">
        <v>22</v>
      </c>
      <c r="E74">
        <v>500</v>
      </c>
      <c r="F74">
        <v>5</v>
      </c>
      <c r="G74">
        <v>2500</v>
      </c>
      <c r="H74" t="s">
        <v>23</v>
      </c>
      <c r="I74" t="s">
        <v>49</v>
      </c>
      <c r="J74" t="s">
        <v>35</v>
      </c>
      <c r="K74" t="s">
        <v>18</v>
      </c>
    </row>
    <row r="75" spans="1:11" x14ac:dyDescent="0.25">
      <c r="A75" t="s">
        <v>152</v>
      </c>
      <c r="B75" t="s">
        <v>153</v>
      </c>
      <c r="C75" t="s">
        <v>72</v>
      </c>
      <c r="D75" t="s">
        <v>66</v>
      </c>
      <c r="E75">
        <v>1200</v>
      </c>
      <c r="F75">
        <v>4</v>
      </c>
      <c r="G75">
        <v>4800</v>
      </c>
      <c r="H75" t="s">
        <v>92</v>
      </c>
      <c r="I75" t="s">
        <v>34</v>
      </c>
      <c r="J75" t="s">
        <v>63</v>
      </c>
      <c r="K75" t="s">
        <v>18</v>
      </c>
    </row>
    <row r="76" spans="1:11" x14ac:dyDescent="0.25">
      <c r="A76" t="s">
        <v>154</v>
      </c>
      <c r="B76" t="s">
        <v>71</v>
      </c>
      <c r="C76" t="s">
        <v>21</v>
      </c>
      <c r="D76" t="s">
        <v>22</v>
      </c>
      <c r="E76">
        <v>100</v>
      </c>
      <c r="F76">
        <v>2</v>
      </c>
      <c r="G76">
        <v>200</v>
      </c>
      <c r="H76" t="s">
        <v>62</v>
      </c>
      <c r="I76" t="s">
        <v>51</v>
      </c>
      <c r="J76" t="s">
        <v>44</v>
      </c>
      <c r="K76" t="s">
        <v>25</v>
      </c>
    </row>
    <row r="77" spans="1:11" x14ac:dyDescent="0.25">
      <c r="A77" t="s">
        <v>155</v>
      </c>
      <c r="B77" t="s">
        <v>124</v>
      </c>
      <c r="C77" t="s">
        <v>65</v>
      </c>
      <c r="E77">
        <v>600</v>
      </c>
      <c r="F77">
        <v>1</v>
      </c>
      <c r="G77">
        <v>600</v>
      </c>
      <c r="H77" t="s">
        <v>92</v>
      </c>
      <c r="I77" t="s">
        <v>34</v>
      </c>
      <c r="J77" t="s">
        <v>30</v>
      </c>
      <c r="K77" t="s">
        <v>45</v>
      </c>
    </row>
    <row r="78" spans="1:11" x14ac:dyDescent="0.25">
      <c r="A78" t="s">
        <v>156</v>
      </c>
      <c r="B78" t="s">
        <v>20</v>
      </c>
      <c r="C78" t="s">
        <v>21</v>
      </c>
      <c r="D78" t="s">
        <v>22</v>
      </c>
      <c r="E78">
        <v>100</v>
      </c>
      <c r="F78">
        <v>2</v>
      </c>
      <c r="G78">
        <v>200</v>
      </c>
      <c r="H78" t="s">
        <v>62</v>
      </c>
      <c r="I78" t="s">
        <v>43</v>
      </c>
      <c r="J78" t="s">
        <v>35</v>
      </c>
      <c r="K78" t="s">
        <v>45</v>
      </c>
    </row>
    <row r="79" spans="1:11" x14ac:dyDescent="0.25">
      <c r="A79" t="s">
        <v>157</v>
      </c>
      <c r="B79" t="s">
        <v>42</v>
      </c>
      <c r="C79" t="s">
        <v>37</v>
      </c>
      <c r="D79" t="s">
        <v>22</v>
      </c>
      <c r="E79">
        <v>150</v>
      </c>
      <c r="F79">
        <v>2</v>
      </c>
      <c r="G79">
        <v>300</v>
      </c>
      <c r="H79" t="s">
        <v>15</v>
      </c>
      <c r="I79" t="s">
        <v>75</v>
      </c>
      <c r="J79" t="s">
        <v>63</v>
      </c>
      <c r="K79" t="s">
        <v>18</v>
      </c>
    </row>
    <row r="80" spans="1:11" x14ac:dyDescent="0.25">
      <c r="A80" t="s">
        <v>158</v>
      </c>
      <c r="B80" s="1">
        <v>45903</v>
      </c>
      <c r="C80" t="s">
        <v>13</v>
      </c>
      <c r="D80" t="s">
        <v>14</v>
      </c>
      <c r="E80">
        <v>60</v>
      </c>
      <c r="G80">
        <v>120</v>
      </c>
      <c r="H80" t="s">
        <v>23</v>
      </c>
      <c r="I80" t="s">
        <v>29</v>
      </c>
      <c r="J80" t="s">
        <v>63</v>
      </c>
      <c r="K80" t="s">
        <v>18</v>
      </c>
    </row>
    <row r="81" spans="1:11" x14ac:dyDescent="0.25">
      <c r="A81" t="s">
        <v>159</v>
      </c>
      <c r="B81" t="s">
        <v>83</v>
      </c>
      <c r="C81" t="s">
        <v>13</v>
      </c>
      <c r="D81" t="s">
        <v>14</v>
      </c>
      <c r="E81">
        <v>60</v>
      </c>
      <c r="F81">
        <v>4</v>
      </c>
      <c r="G81">
        <v>240</v>
      </c>
      <c r="H81" t="s">
        <v>48</v>
      </c>
      <c r="I81" t="s">
        <v>24</v>
      </c>
      <c r="J81" t="s">
        <v>17</v>
      </c>
      <c r="K81" t="s">
        <v>25</v>
      </c>
    </row>
    <row r="82" spans="1:11" x14ac:dyDescent="0.25">
      <c r="A82" t="s">
        <v>160</v>
      </c>
      <c r="B82" t="s">
        <v>71</v>
      </c>
      <c r="C82" t="s">
        <v>21</v>
      </c>
      <c r="D82" t="s">
        <v>22</v>
      </c>
      <c r="E82">
        <v>100</v>
      </c>
      <c r="F82">
        <v>3</v>
      </c>
      <c r="G82">
        <v>300</v>
      </c>
      <c r="H82" t="s">
        <v>60</v>
      </c>
      <c r="I82" t="s">
        <v>93</v>
      </c>
      <c r="J82" t="s">
        <v>44</v>
      </c>
      <c r="K82" t="s">
        <v>18</v>
      </c>
    </row>
    <row r="83" spans="1:11" x14ac:dyDescent="0.25">
      <c r="A83" t="s">
        <v>161</v>
      </c>
      <c r="B83" t="s">
        <v>124</v>
      </c>
      <c r="C83" t="s">
        <v>47</v>
      </c>
      <c r="D83" t="s">
        <v>22</v>
      </c>
      <c r="E83">
        <v>500</v>
      </c>
      <c r="F83">
        <v>3</v>
      </c>
      <c r="G83">
        <v>1500</v>
      </c>
      <c r="H83" t="s">
        <v>92</v>
      </c>
      <c r="I83" t="s">
        <v>69</v>
      </c>
      <c r="J83" t="s">
        <v>17</v>
      </c>
      <c r="K83" t="s">
        <v>18</v>
      </c>
    </row>
    <row r="84" spans="1:11" x14ac:dyDescent="0.25">
      <c r="A84" t="s">
        <v>162</v>
      </c>
      <c r="B84" t="s">
        <v>163</v>
      </c>
      <c r="C84" t="s">
        <v>65</v>
      </c>
      <c r="D84" t="s">
        <v>66</v>
      </c>
      <c r="E84">
        <v>600</v>
      </c>
      <c r="F84">
        <v>4</v>
      </c>
      <c r="G84">
        <v>2400</v>
      </c>
      <c r="H84" t="s">
        <v>15</v>
      </c>
      <c r="I84" t="s">
        <v>43</v>
      </c>
      <c r="J84" t="s">
        <v>63</v>
      </c>
      <c r="K84" t="s">
        <v>18</v>
      </c>
    </row>
    <row r="85" spans="1:11" x14ac:dyDescent="0.25">
      <c r="A85" t="s">
        <v>164</v>
      </c>
      <c r="B85" t="s">
        <v>89</v>
      </c>
      <c r="C85" t="s">
        <v>39</v>
      </c>
      <c r="D85" t="s">
        <v>40</v>
      </c>
      <c r="E85">
        <v>20</v>
      </c>
      <c r="F85">
        <v>5</v>
      </c>
      <c r="G85">
        <v>100</v>
      </c>
      <c r="H85" t="s">
        <v>33</v>
      </c>
      <c r="I85" t="s">
        <v>51</v>
      </c>
      <c r="J85" t="s">
        <v>44</v>
      </c>
      <c r="K85" t="s">
        <v>45</v>
      </c>
    </row>
    <row r="86" spans="1:11" x14ac:dyDescent="0.25">
      <c r="A86" t="s">
        <v>165</v>
      </c>
      <c r="B86" s="1">
        <v>45810</v>
      </c>
      <c r="D86" t="s">
        <v>22</v>
      </c>
      <c r="F86">
        <v>5</v>
      </c>
      <c r="G86">
        <v>2500</v>
      </c>
      <c r="H86" t="s">
        <v>60</v>
      </c>
      <c r="I86" t="s">
        <v>43</v>
      </c>
      <c r="J86" t="s">
        <v>44</v>
      </c>
      <c r="K86" t="s">
        <v>45</v>
      </c>
    </row>
    <row r="87" spans="1:11" x14ac:dyDescent="0.25">
      <c r="A87" t="s">
        <v>166</v>
      </c>
      <c r="B87" t="s">
        <v>147</v>
      </c>
      <c r="C87" t="s">
        <v>37</v>
      </c>
      <c r="D87" t="s">
        <v>22</v>
      </c>
      <c r="E87">
        <v>150</v>
      </c>
      <c r="F87">
        <v>5</v>
      </c>
      <c r="G87">
        <v>750</v>
      </c>
      <c r="H87" t="s">
        <v>92</v>
      </c>
      <c r="I87" t="s">
        <v>34</v>
      </c>
      <c r="J87" t="s">
        <v>44</v>
      </c>
      <c r="K87" t="s">
        <v>18</v>
      </c>
    </row>
    <row r="88" spans="1:11" x14ac:dyDescent="0.25">
      <c r="A88" t="s">
        <v>167</v>
      </c>
      <c r="B88" t="s">
        <v>58</v>
      </c>
      <c r="C88" t="s">
        <v>13</v>
      </c>
      <c r="D88" t="s">
        <v>14</v>
      </c>
      <c r="E88">
        <v>60</v>
      </c>
      <c r="F88">
        <v>5</v>
      </c>
      <c r="G88">
        <v>300</v>
      </c>
      <c r="H88" t="s">
        <v>15</v>
      </c>
      <c r="J88" t="s">
        <v>17</v>
      </c>
      <c r="K88" t="s">
        <v>45</v>
      </c>
    </row>
    <row r="89" spans="1:11" x14ac:dyDescent="0.25">
      <c r="A89" t="s">
        <v>168</v>
      </c>
      <c r="B89" s="1">
        <v>45810</v>
      </c>
      <c r="C89" t="s">
        <v>72</v>
      </c>
      <c r="D89" t="s">
        <v>66</v>
      </c>
      <c r="E89">
        <v>1200</v>
      </c>
      <c r="F89">
        <v>2</v>
      </c>
      <c r="G89">
        <v>2400</v>
      </c>
      <c r="H89" t="s">
        <v>80</v>
      </c>
      <c r="I89" t="s">
        <v>69</v>
      </c>
      <c r="J89" t="s">
        <v>17</v>
      </c>
      <c r="K89" t="s">
        <v>25</v>
      </c>
    </row>
    <row r="90" spans="1:11" x14ac:dyDescent="0.25">
      <c r="A90" t="s">
        <v>169</v>
      </c>
      <c r="B90" t="s">
        <v>106</v>
      </c>
      <c r="C90" t="s">
        <v>13</v>
      </c>
      <c r="D90" t="s">
        <v>14</v>
      </c>
      <c r="E90">
        <v>60</v>
      </c>
      <c r="F90">
        <v>5</v>
      </c>
      <c r="G90">
        <v>300</v>
      </c>
      <c r="H90" t="s">
        <v>15</v>
      </c>
      <c r="I90" t="s">
        <v>75</v>
      </c>
      <c r="J90" t="s">
        <v>35</v>
      </c>
      <c r="K90" t="s">
        <v>18</v>
      </c>
    </row>
    <row r="91" spans="1:11" x14ac:dyDescent="0.25">
      <c r="A91" t="s">
        <v>170</v>
      </c>
      <c r="B91" t="s">
        <v>86</v>
      </c>
      <c r="C91" t="s">
        <v>37</v>
      </c>
      <c r="D91" t="s">
        <v>22</v>
      </c>
      <c r="E91">
        <v>150</v>
      </c>
      <c r="F91">
        <v>5</v>
      </c>
      <c r="G91">
        <v>750</v>
      </c>
      <c r="H91" t="s">
        <v>23</v>
      </c>
      <c r="I91" t="s">
        <v>43</v>
      </c>
      <c r="J91" t="s">
        <v>30</v>
      </c>
      <c r="K91" t="s">
        <v>45</v>
      </c>
    </row>
    <row r="92" spans="1:11" x14ac:dyDescent="0.25">
      <c r="A92" t="s">
        <v>171</v>
      </c>
      <c r="B92" s="1">
        <v>45718</v>
      </c>
      <c r="C92" t="s">
        <v>101</v>
      </c>
      <c r="F92">
        <v>4</v>
      </c>
      <c r="G92">
        <v>3200</v>
      </c>
      <c r="H92" t="s">
        <v>62</v>
      </c>
      <c r="I92" t="s">
        <v>43</v>
      </c>
      <c r="J92" t="s">
        <v>63</v>
      </c>
      <c r="K92" t="s">
        <v>25</v>
      </c>
    </row>
    <row r="93" spans="1:11" x14ac:dyDescent="0.25">
      <c r="A93" t="s">
        <v>172</v>
      </c>
      <c r="B93" t="s">
        <v>115</v>
      </c>
      <c r="C93" t="s">
        <v>47</v>
      </c>
      <c r="D93" t="s">
        <v>22</v>
      </c>
      <c r="E93">
        <v>500</v>
      </c>
      <c r="F93">
        <v>2</v>
      </c>
      <c r="G93">
        <v>1000</v>
      </c>
      <c r="H93" t="s">
        <v>33</v>
      </c>
      <c r="I93" t="s">
        <v>51</v>
      </c>
      <c r="J93" t="s">
        <v>44</v>
      </c>
      <c r="K93" t="s">
        <v>18</v>
      </c>
    </row>
    <row r="94" spans="1:11" x14ac:dyDescent="0.25">
      <c r="A94" t="s">
        <v>173</v>
      </c>
      <c r="B94" s="1">
        <v>45811</v>
      </c>
      <c r="C94" t="s">
        <v>72</v>
      </c>
      <c r="D94" t="s">
        <v>66</v>
      </c>
      <c r="E94">
        <v>1200</v>
      </c>
      <c r="F94">
        <v>5</v>
      </c>
      <c r="G94">
        <v>6000</v>
      </c>
      <c r="H94" t="s">
        <v>56</v>
      </c>
      <c r="I94" t="s">
        <v>29</v>
      </c>
      <c r="J94" t="s">
        <v>44</v>
      </c>
      <c r="K94" t="s">
        <v>18</v>
      </c>
    </row>
    <row r="95" spans="1:11" x14ac:dyDescent="0.25">
      <c r="A95" t="s">
        <v>174</v>
      </c>
      <c r="B95" t="s">
        <v>153</v>
      </c>
      <c r="C95" t="s">
        <v>59</v>
      </c>
      <c r="D95" t="s">
        <v>40</v>
      </c>
      <c r="E95">
        <v>40</v>
      </c>
      <c r="F95">
        <v>5</v>
      </c>
      <c r="G95">
        <v>200</v>
      </c>
      <c r="H95" t="s">
        <v>62</v>
      </c>
      <c r="I95" t="s">
        <v>69</v>
      </c>
      <c r="J95" t="s">
        <v>35</v>
      </c>
      <c r="K95" t="s">
        <v>18</v>
      </c>
    </row>
    <row r="96" spans="1:11" x14ac:dyDescent="0.25">
      <c r="A96" t="s">
        <v>175</v>
      </c>
      <c r="B96" t="s">
        <v>54</v>
      </c>
      <c r="C96" t="s">
        <v>37</v>
      </c>
      <c r="D96" t="s">
        <v>22</v>
      </c>
      <c r="E96">
        <v>150</v>
      </c>
      <c r="F96">
        <v>4</v>
      </c>
      <c r="G96">
        <v>600</v>
      </c>
      <c r="H96" t="s">
        <v>80</v>
      </c>
      <c r="I96" t="s">
        <v>16</v>
      </c>
      <c r="J96" t="s">
        <v>17</v>
      </c>
      <c r="K96" t="s">
        <v>18</v>
      </c>
    </row>
    <row r="97" spans="1:11" x14ac:dyDescent="0.25">
      <c r="A97" t="s">
        <v>176</v>
      </c>
      <c r="B97" t="s">
        <v>137</v>
      </c>
      <c r="C97" t="s">
        <v>37</v>
      </c>
      <c r="D97" t="s">
        <v>22</v>
      </c>
      <c r="E97">
        <v>150</v>
      </c>
      <c r="F97">
        <v>3</v>
      </c>
      <c r="G97">
        <v>450</v>
      </c>
      <c r="H97" t="s">
        <v>92</v>
      </c>
      <c r="I97" t="s">
        <v>16</v>
      </c>
      <c r="J97" t="s">
        <v>30</v>
      </c>
      <c r="K97" t="s">
        <v>45</v>
      </c>
    </row>
    <row r="98" spans="1:11" x14ac:dyDescent="0.25">
      <c r="A98" t="s">
        <v>177</v>
      </c>
      <c r="B98" t="s">
        <v>153</v>
      </c>
      <c r="D98" t="s">
        <v>84</v>
      </c>
      <c r="E98">
        <v>15</v>
      </c>
      <c r="G98">
        <v>75</v>
      </c>
      <c r="H98" t="s">
        <v>33</v>
      </c>
      <c r="I98" t="s">
        <v>93</v>
      </c>
      <c r="J98" t="s">
        <v>30</v>
      </c>
      <c r="K98" t="s">
        <v>25</v>
      </c>
    </row>
    <row r="99" spans="1:11" x14ac:dyDescent="0.25">
      <c r="A99" t="s">
        <v>178</v>
      </c>
      <c r="B99" t="s">
        <v>89</v>
      </c>
      <c r="C99" t="s">
        <v>37</v>
      </c>
      <c r="D99" t="s">
        <v>22</v>
      </c>
      <c r="E99">
        <v>150</v>
      </c>
      <c r="F99">
        <v>2</v>
      </c>
      <c r="G99">
        <v>300</v>
      </c>
      <c r="H99" t="s">
        <v>80</v>
      </c>
      <c r="I99" t="s">
        <v>49</v>
      </c>
      <c r="J99" t="s">
        <v>44</v>
      </c>
      <c r="K99" t="s">
        <v>25</v>
      </c>
    </row>
    <row r="100" spans="1:11" x14ac:dyDescent="0.25">
      <c r="A100" t="s">
        <v>179</v>
      </c>
      <c r="B100" t="s">
        <v>120</v>
      </c>
      <c r="C100" t="s">
        <v>65</v>
      </c>
      <c r="D100" t="s">
        <v>66</v>
      </c>
      <c r="E100">
        <v>600</v>
      </c>
      <c r="F100">
        <v>5</v>
      </c>
      <c r="G100">
        <v>3000</v>
      </c>
      <c r="H100" t="s">
        <v>60</v>
      </c>
      <c r="I100" t="s">
        <v>69</v>
      </c>
      <c r="J100" t="s">
        <v>17</v>
      </c>
      <c r="K100" t="s">
        <v>45</v>
      </c>
    </row>
    <row r="101" spans="1:11" x14ac:dyDescent="0.25">
      <c r="A101" t="s">
        <v>180</v>
      </c>
      <c r="B101" t="s">
        <v>139</v>
      </c>
      <c r="C101" t="s">
        <v>13</v>
      </c>
      <c r="D101" t="s">
        <v>14</v>
      </c>
      <c r="E101">
        <v>60</v>
      </c>
      <c r="F101">
        <v>1</v>
      </c>
      <c r="G101">
        <v>60</v>
      </c>
      <c r="H101" t="s">
        <v>92</v>
      </c>
      <c r="I101" t="s">
        <v>43</v>
      </c>
      <c r="J101" t="s">
        <v>63</v>
      </c>
      <c r="K101" t="s">
        <v>18</v>
      </c>
    </row>
    <row r="102" spans="1:11" x14ac:dyDescent="0.25">
      <c r="A102" t="s">
        <v>181</v>
      </c>
      <c r="B102" t="s">
        <v>68</v>
      </c>
      <c r="C102" t="s">
        <v>55</v>
      </c>
      <c r="D102" t="s">
        <v>84</v>
      </c>
      <c r="E102">
        <v>15</v>
      </c>
      <c r="F102">
        <v>5</v>
      </c>
      <c r="G102">
        <v>75</v>
      </c>
      <c r="H102" t="s">
        <v>28</v>
      </c>
      <c r="I102" t="s">
        <v>29</v>
      </c>
      <c r="J102" t="s">
        <v>44</v>
      </c>
      <c r="K102" t="s">
        <v>25</v>
      </c>
    </row>
    <row r="103" spans="1:11" x14ac:dyDescent="0.25">
      <c r="A103" t="s">
        <v>182</v>
      </c>
      <c r="B103" t="s">
        <v>163</v>
      </c>
      <c r="C103" t="s">
        <v>47</v>
      </c>
      <c r="D103" t="s">
        <v>22</v>
      </c>
      <c r="E103">
        <v>500</v>
      </c>
      <c r="F103">
        <v>2</v>
      </c>
      <c r="G103">
        <v>1000</v>
      </c>
      <c r="H103" t="s">
        <v>56</v>
      </c>
      <c r="J103" t="s">
        <v>44</v>
      </c>
      <c r="K103" t="s">
        <v>25</v>
      </c>
    </row>
    <row r="104" spans="1:11" x14ac:dyDescent="0.25">
      <c r="A104" t="s">
        <v>183</v>
      </c>
      <c r="B104" t="s">
        <v>12</v>
      </c>
      <c r="C104" t="s">
        <v>39</v>
      </c>
      <c r="D104" t="s">
        <v>40</v>
      </c>
      <c r="E104">
        <v>20</v>
      </c>
      <c r="F104">
        <v>2</v>
      </c>
      <c r="G104">
        <v>40</v>
      </c>
      <c r="H104" t="s">
        <v>60</v>
      </c>
      <c r="I104" t="s">
        <v>93</v>
      </c>
      <c r="J104" t="s">
        <v>44</v>
      </c>
      <c r="K104" t="s">
        <v>25</v>
      </c>
    </row>
    <row r="105" spans="1:11" x14ac:dyDescent="0.25">
      <c r="A105" t="s">
        <v>184</v>
      </c>
      <c r="B105" t="s">
        <v>185</v>
      </c>
      <c r="C105" t="s">
        <v>59</v>
      </c>
      <c r="D105" t="s">
        <v>40</v>
      </c>
      <c r="E105">
        <v>40</v>
      </c>
      <c r="F105">
        <v>5</v>
      </c>
      <c r="G105">
        <v>200</v>
      </c>
      <c r="H105" t="s">
        <v>92</v>
      </c>
      <c r="I105" t="s">
        <v>34</v>
      </c>
      <c r="J105" t="s">
        <v>17</v>
      </c>
      <c r="K105" t="s">
        <v>25</v>
      </c>
    </row>
    <row r="106" spans="1:11" x14ac:dyDescent="0.25">
      <c r="A106" t="s">
        <v>186</v>
      </c>
      <c r="B106" t="s">
        <v>141</v>
      </c>
      <c r="C106" t="s">
        <v>59</v>
      </c>
      <c r="D106" t="s">
        <v>40</v>
      </c>
      <c r="E106">
        <v>40</v>
      </c>
      <c r="F106">
        <v>1</v>
      </c>
      <c r="G106">
        <v>40</v>
      </c>
      <c r="H106" t="s">
        <v>92</v>
      </c>
      <c r="I106" t="s">
        <v>51</v>
      </c>
      <c r="J106" t="s">
        <v>17</v>
      </c>
      <c r="K106" t="s">
        <v>25</v>
      </c>
    </row>
    <row r="107" spans="1:11" x14ac:dyDescent="0.25">
      <c r="A107" t="s">
        <v>187</v>
      </c>
      <c r="B107" t="s">
        <v>115</v>
      </c>
      <c r="C107" t="s">
        <v>39</v>
      </c>
      <c r="D107" t="s">
        <v>40</v>
      </c>
      <c r="F107">
        <v>3</v>
      </c>
      <c r="G107">
        <v>60</v>
      </c>
      <c r="H107" t="s">
        <v>33</v>
      </c>
      <c r="I107" t="s">
        <v>93</v>
      </c>
      <c r="J107" t="s">
        <v>44</v>
      </c>
      <c r="K107" t="s">
        <v>25</v>
      </c>
    </row>
    <row r="108" spans="1:11" x14ac:dyDescent="0.25">
      <c r="A108" t="s">
        <v>188</v>
      </c>
      <c r="B108" t="s">
        <v>129</v>
      </c>
      <c r="C108" t="s">
        <v>59</v>
      </c>
      <c r="D108" t="s">
        <v>40</v>
      </c>
      <c r="E108">
        <v>40</v>
      </c>
      <c r="F108">
        <v>3</v>
      </c>
      <c r="G108">
        <v>120</v>
      </c>
      <c r="H108" t="s">
        <v>33</v>
      </c>
      <c r="I108" t="s">
        <v>34</v>
      </c>
      <c r="J108" t="s">
        <v>35</v>
      </c>
      <c r="K108" t="s">
        <v>18</v>
      </c>
    </row>
    <row r="109" spans="1:11" x14ac:dyDescent="0.25">
      <c r="A109" t="s">
        <v>189</v>
      </c>
      <c r="B109" t="s">
        <v>141</v>
      </c>
      <c r="C109" t="s">
        <v>21</v>
      </c>
      <c r="D109" t="s">
        <v>22</v>
      </c>
      <c r="E109">
        <v>100</v>
      </c>
      <c r="F109">
        <v>2</v>
      </c>
      <c r="G109">
        <v>200</v>
      </c>
      <c r="H109" t="s">
        <v>62</v>
      </c>
      <c r="I109" t="s">
        <v>49</v>
      </c>
      <c r="J109" t="s">
        <v>44</v>
      </c>
      <c r="K109" t="s">
        <v>25</v>
      </c>
    </row>
    <row r="110" spans="1:11" x14ac:dyDescent="0.25">
      <c r="A110" t="s">
        <v>190</v>
      </c>
      <c r="B110" t="s">
        <v>111</v>
      </c>
      <c r="C110" t="s">
        <v>59</v>
      </c>
      <c r="E110">
        <v>40</v>
      </c>
      <c r="F110">
        <v>5</v>
      </c>
      <c r="G110">
        <v>200</v>
      </c>
      <c r="H110" t="s">
        <v>60</v>
      </c>
      <c r="I110" t="s">
        <v>16</v>
      </c>
      <c r="J110" t="s">
        <v>44</v>
      </c>
      <c r="K110" t="s">
        <v>45</v>
      </c>
    </row>
    <row r="111" spans="1:11" x14ac:dyDescent="0.25">
      <c r="A111" t="s">
        <v>191</v>
      </c>
      <c r="B111" t="s">
        <v>120</v>
      </c>
      <c r="C111" t="s">
        <v>47</v>
      </c>
      <c r="D111" t="s">
        <v>22</v>
      </c>
      <c r="E111">
        <v>500</v>
      </c>
      <c r="F111">
        <v>5</v>
      </c>
      <c r="G111">
        <v>2500</v>
      </c>
      <c r="H111" t="s">
        <v>33</v>
      </c>
      <c r="I111" t="s">
        <v>34</v>
      </c>
      <c r="J111" t="s">
        <v>30</v>
      </c>
      <c r="K111" t="s">
        <v>25</v>
      </c>
    </row>
    <row r="112" spans="1:11" x14ac:dyDescent="0.25">
      <c r="A112" t="s">
        <v>192</v>
      </c>
      <c r="B112" t="s">
        <v>144</v>
      </c>
      <c r="C112" t="s">
        <v>101</v>
      </c>
      <c r="D112" t="s">
        <v>22</v>
      </c>
      <c r="E112">
        <v>800</v>
      </c>
      <c r="F112">
        <v>4</v>
      </c>
      <c r="G112">
        <v>3200</v>
      </c>
      <c r="H112" t="s">
        <v>15</v>
      </c>
      <c r="I112" t="s">
        <v>75</v>
      </c>
      <c r="J112" t="s">
        <v>35</v>
      </c>
      <c r="K112" t="s">
        <v>45</v>
      </c>
    </row>
    <row r="113" spans="1:11" x14ac:dyDescent="0.25">
      <c r="A113" t="s">
        <v>193</v>
      </c>
      <c r="B113" s="1">
        <v>45811</v>
      </c>
      <c r="D113" t="s">
        <v>66</v>
      </c>
      <c r="E113">
        <v>600</v>
      </c>
      <c r="F113">
        <v>2</v>
      </c>
      <c r="G113">
        <v>1200</v>
      </c>
      <c r="H113" t="s">
        <v>56</v>
      </c>
      <c r="I113" t="s">
        <v>34</v>
      </c>
      <c r="J113" t="s">
        <v>63</v>
      </c>
      <c r="K113" t="s">
        <v>18</v>
      </c>
    </row>
    <row r="114" spans="1:11" x14ac:dyDescent="0.25">
      <c r="A114" t="s">
        <v>194</v>
      </c>
      <c r="B114" t="s">
        <v>129</v>
      </c>
      <c r="C114" t="s">
        <v>55</v>
      </c>
      <c r="D114" t="s">
        <v>84</v>
      </c>
      <c r="E114">
        <v>15</v>
      </c>
      <c r="F114">
        <v>5</v>
      </c>
      <c r="G114">
        <v>75</v>
      </c>
      <c r="H114" t="s">
        <v>56</v>
      </c>
      <c r="I114" t="s">
        <v>24</v>
      </c>
      <c r="J114" t="s">
        <v>17</v>
      </c>
      <c r="K114" t="s">
        <v>25</v>
      </c>
    </row>
    <row r="115" spans="1:11" x14ac:dyDescent="0.25">
      <c r="A115" t="s">
        <v>195</v>
      </c>
      <c r="B115" t="s">
        <v>83</v>
      </c>
      <c r="C115" t="s">
        <v>13</v>
      </c>
      <c r="D115" t="s">
        <v>14</v>
      </c>
      <c r="E115">
        <v>60</v>
      </c>
      <c r="F115">
        <v>1</v>
      </c>
      <c r="G115">
        <v>60</v>
      </c>
      <c r="H115" t="s">
        <v>15</v>
      </c>
      <c r="I115" t="s">
        <v>43</v>
      </c>
      <c r="J115" t="s">
        <v>35</v>
      </c>
      <c r="K115" t="s">
        <v>25</v>
      </c>
    </row>
    <row r="116" spans="1:11" x14ac:dyDescent="0.25">
      <c r="A116" t="s">
        <v>196</v>
      </c>
      <c r="B116" t="s">
        <v>197</v>
      </c>
      <c r="C116" t="s">
        <v>13</v>
      </c>
      <c r="D116" t="s">
        <v>14</v>
      </c>
      <c r="E116">
        <v>60</v>
      </c>
      <c r="F116">
        <v>3</v>
      </c>
      <c r="G116">
        <v>180</v>
      </c>
      <c r="H116" t="s">
        <v>33</v>
      </c>
      <c r="I116" t="s">
        <v>49</v>
      </c>
      <c r="J116" t="s">
        <v>30</v>
      </c>
      <c r="K116" t="s">
        <v>45</v>
      </c>
    </row>
    <row r="117" spans="1:11" x14ac:dyDescent="0.25">
      <c r="A117" t="s">
        <v>198</v>
      </c>
      <c r="B117" t="s">
        <v>129</v>
      </c>
      <c r="C117" t="s">
        <v>101</v>
      </c>
      <c r="D117" t="s">
        <v>22</v>
      </c>
      <c r="E117">
        <v>800</v>
      </c>
      <c r="F117">
        <v>4</v>
      </c>
      <c r="G117">
        <v>3200</v>
      </c>
      <c r="H117" t="s">
        <v>15</v>
      </c>
      <c r="I117" t="s">
        <v>75</v>
      </c>
      <c r="J117" t="s">
        <v>30</v>
      </c>
      <c r="K117" t="s">
        <v>45</v>
      </c>
    </row>
    <row r="118" spans="1:11" x14ac:dyDescent="0.25">
      <c r="A118" t="s">
        <v>199</v>
      </c>
      <c r="B118" t="s">
        <v>200</v>
      </c>
      <c r="C118" t="s">
        <v>39</v>
      </c>
      <c r="D118" t="s">
        <v>40</v>
      </c>
      <c r="E118">
        <v>20</v>
      </c>
      <c r="F118">
        <v>1</v>
      </c>
      <c r="G118">
        <v>20</v>
      </c>
      <c r="H118" t="s">
        <v>62</v>
      </c>
      <c r="J118" t="s">
        <v>35</v>
      </c>
      <c r="K118" t="s">
        <v>45</v>
      </c>
    </row>
    <row r="119" spans="1:11" x14ac:dyDescent="0.25">
      <c r="A119" t="s">
        <v>201</v>
      </c>
      <c r="B119" s="1">
        <v>45932</v>
      </c>
      <c r="D119" t="s">
        <v>22</v>
      </c>
      <c r="E119">
        <v>100</v>
      </c>
      <c r="F119">
        <v>5</v>
      </c>
      <c r="G119">
        <v>500</v>
      </c>
      <c r="H119" t="s">
        <v>28</v>
      </c>
      <c r="I119" t="s">
        <v>43</v>
      </c>
      <c r="J119" t="s">
        <v>30</v>
      </c>
      <c r="K119" t="s">
        <v>45</v>
      </c>
    </row>
    <row r="120" spans="1:11" x14ac:dyDescent="0.25">
      <c r="A120" t="s">
        <v>202</v>
      </c>
      <c r="B120" t="s">
        <v>141</v>
      </c>
      <c r="C120" t="s">
        <v>47</v>
      </c>
      <c r="D120" t="s">
        <v>22</v>
      </c>
      <c r="E120">
        <v>500</v>
      </c>
      <c r="F120">
        <v>2</v>
      </c>
      <c r="G120">
        <v>1000</v>
      </c>
      <c r="H120" t="s">
        <v>80</v>
      </c>
      <c r="I120" t="s">
        <v>93</v>
      </c>
      <c r="J120" t="s">
        <v>44</v>
      </c>
      <c r="K120" t="s">
        <v>25</v>
      </c>
    </row>
    <row r="121" spans="1:11" x14ac:dyDescent="0.25">
      <c r="A121" t="s">
        <v>203</v>
      </c>
      <c r="B121" t="s">
        <v>104</v>
      </c>
      <c r="C121" t="s">
        <v>101</v>
      </c>
      <c r="D121" t="s">
        <v>22</v>
      </c>
      <c r="E121">
        <v>800</v>
      </c>
      <c r="F121">
        <v>5</v>
      </c>
      <c r="G121">
        <v>4000</v>
      </c>
      <c r="H121" t="s">
        <v>23</v>
      </c>
      <c r="I121" t="s">
        <v>29</v>
      </c>
      <c r="J121" t="s">
        <v>44</v>
      </c>
      <c r="K121" t="s">
        <v>45</v>
      </c>
    </row>
    <row r="122" spans="1:11" x14ac:dyDescent="0.25">
      <c r="A122" t="s">
        <v>204</v>
      </c>
      <c r="B122" t="s">
        <v>120</v>
      </c>
      <c r="C122" t="s">
        <v>47</v>
      </c>
      <c r="D122" t="s">
        <v>22</v>
      </c>
      <c r="F122">
        <v>1</v>
      </c>
      <c r="G122">
        <v>500</v>
      </c>
      <c r="H122" t="s">
        <v>28</v>
      </c>
      <c r="I122" t="s">
        <v>34</v>
      </c>
      <c r="J122" t="s">
        <v>63</v>
      </c>
      <c r="K122" t="s">
        <v>25</v>
      </c>
    </row>
    <row r="123" spans="1:11" x14ac:dyDescent="0.25">
      <c r="A123" t="s">
        <v>205</v>
      </c>
      <c r="B123" t="s">
        <v>206</v>
      </c>
      <c r="C123" t="s">
        <v>101</v>
      </c>
      <c r="D123" t="s">
        <v>22</v>
      </c>
      <c r="E123">
        <v>800</v>
      </c>
      <c r="F123">
        <v>3</v>
      </c>
      <c r="G123">
        <v>2400</v>
      </c>
      <c r="H123" t="s">
        <v>28</v>
      </c>
      <c r="I123" t="s">
        <v>49</v>
      </c>
      <c r="J123" t="s">
        <v>35</v>
      </c>
      <c r="K123" t="s">
        <v>18</v>
      </c>
    </row>
    <row r="124" spans="1:11" x14ac:dyDescent="0.25">
      <c r="A124" t="s">
        <v>207</v>
      </c>
      <c r="B124" t="s">
        <v>83</v>
      </c>
      <c r="C124" t="s">
        <v>55</v>
      </c>
      <c r="D124" t="s">
        <v>84</v>
      </c>
      <c r="E124">
        <v>15</v>
      </c>
      <c r="F124">
        <v>3</v>
      </c>
      <c r="G124">
        <v>45</v>
      </c>
      <c r="H124" t="s">
        <v>80</v>
      </c>
      <c r="I124" t="s">
        <v>51</v>
      </c>
      <c r="J124" t="s">
        <v>63</v>
      </c>
      <c r="K124" t="s">
        <v>18</v>
      </c>
    </row>
    <row r="125" spans="1:11" x14ac:dyDescent="0.25">
      <c r="A125" t="s">
        <v>208</v>
      </c>
      <c r="B125" s="1">
        <v>45932</v>
      </c>
      <c r="C125" t="s">
        <v>55</v>
      </c>
      <c r="E125">
        <v>15</v>
      </c>
      <c r="F125">
        <v>1</v>
      </c>
      <c r="G125">
        <v>15</v>
      </c>
      <c r="H125" t="s">
        <v>15</v>
      </c>
      <c r="I125" t="s">
        <v>69</v>
      </c>
      <c r="J125" t="s">
        <v>63</v>
      </c>
      <c r="K125" t="s">
        <v>25</v>
      </c>
    </row>
    <row r="126" spans="1:11" x14ac:dyDescent="0.25">
      <c r="A126" t="s">
        <v>209</v>
      </c>
      <c r="B126" t="s">
        <v>83</v>
      </c>
      <c r="C126" t="s">
        <v>47</v>
      </c>
      <c r="D126" t="s">
        <v>22</v>
      </c>
      <c r="E126">
        <v>500</v>
      </c>
      <c r="F126">
        <v>1</v>
      </c>
      <c r="G126">
        <v>500</v>
      </c>
      <c r="H126" t="s">
        <v>23</v>
      </c>
      <c r="I126" t="s">
        <v>29</v>
      </c>
      <c r="J126" t="s">
        <v>30</v>
      </c>
      <c r="K126" t="s">
        <v>45</v>
      </c>
    </row>
    <row r="127" spans="1:11" x14ac:dyDescent="0.25">
      <c r="A127" t="s">
        <v>210</v>
      </c>
      <c r="B127" s="1">
        <v>45749</v>
      </c>
      <c r="C127" t="s">
        <v>72</v>
      </c>
      <c r="D127" t="s">
        <v>66</v>
      </c>
      <c r="E127">
        <v>1200</v>
      </c>
      <c r="F127">
        <v>5</v>
      </c>
      <c r="G127">
        <v>6000</v>
      </c>
      <c r="H127" t="s">
        <v>33</v>
      </c>
      <c r="I127" t="s">
        <v>93</v>
      </c>
      <c r="J127" t="s">
        <v>63</v>
      </c>
      <c r="K127" t="s">
        <v>25</v>
      </c>
    </row>
    <row r="128" spans="1:11" x14ac:dyDescent="0.25">
      <c r="A128" t="s">
        <v>211</v>
      </c>
      <c r="B128" t="s">
        <v>120</v>
      </c>
      <c r="C128" t="s">
        <v>39</v>
      </c>
      <c r="D128" t="s">
        <v>40</v>
      </c>
      <c r="E128">
        <v>20</v>
      </c>
      <c r="G128">
        <v>60</v>
      </c>
      <c r="H128" t="s">
        <v>15</v>
      </c>
      <c r="I128" t="s">
        <v>34</v>
      </c>
      <c r="J128" t="s">
        <v>17</v>
      </c>
      <c r="K128" t="s">
        <v>45</v>
      </c>
    </row>
    <row r="129" spans="1:11" x14ac:dyDescent="0.25">
      <c r="A129" t="s">
        <v>212</v>
      </c>
      <c r="B129" t="s">
        <v>213</v>
      </c>
      <c r="C129" t="s">
        <v>37</v>
      </c>
      <c r="D129" t="s">
        <v>22</v>
      </c>
      <c r="E129">
        <v>150</v>
      </c>
      <c r="F129">
        <v>2</v>
      </c>
      <c r="G129">
        <v>300</v>
      </c>
      <c r="H129" t="s">
        <v>23</v>
      </c>
      <c r="I129" t="s">
        <v>34</v>
      </c>
      <c r="J129" t="s">
        <v>44</v>
      </c>
      <c r="K129" t="s">
        <v>18</v>
      </c>
    </row>
    <row r="130" spans="1:11" x14ac:dyDescent="0.25">
      <c r="A130" t="s">
        <v>214</v>
      </c>
      <c r="B130" t="s">
        <v>71</v>
      </c>
      <c r="C130" t="s">
        <v>59</v>
      </c>
      <c r="D130" t="s">
        <v>40</v>
      </c>
      <c r="E130">
        <v>40</v>
      </c>
      <c r="F130">
        <v>5</v>
      </c>
      <c r="G130">
        <v>200</v>
      </c>
      <c r="H130" t="s">
        <v>23</v>
      </c>
      <c r="I130" t="s">
        <v>16</v>
      </c>
      <c r="J130" t="s">
        <v>17</v>
      </c>
      <c r="K130" t="s">
        <v>25</v>
      </c>
    </row>
    <row r="131" spans="1:11" x14ac:dyDescent="0.25">
      <c r="A131" t="s">
        <v>215</v>
      </c>
      <c r="B131" s="1">
        <v>45932</v>
      </c>
      <c r="C131" t="s">
        <v>37</v>
      </c>
      <c r="D131" t="s">
        <v>22</v>
      </c>
      <c r="F131">
        <v>5</v>
      </c>
      <c r="G131">
        <v>750</v>
      </c>
      <c r="H131" t="s">
        <v>56</v>
      </c>
      <c r="I131" t="s">
        <v>51</v>
      </c>
      <c r="J131" t="s">
        <v>44</v>
      </c>
      <c r="K131" t="s">
        <v>45</v>
      </c>
    </row>
    <row r="132" spans="1:11" x14ac:dyDescent="0.25">
      <c r="A132" t="s">
        <v>216</v>
      </c>
      <c r="B132" t="s">
        <v>71</v>
      </c>
      <c r="D132" t="s">
        <v>40</v>
      </c>
      <c r="E132">
        <v>40</v>
      </c>
      <c r="F132">
        <v>2</v>
      </c>
      <c r="G132">
        <v>80</v>
      </c>
      <c r="H132" t="s">
        <v>62</v>
      </c>
      <c r="I132" t="s">
        <v>93</v>
      </c>
      <c r="J132" t="s">
        <v>35</v>
      </c>
      <c r="K132" t="s">
        <v>25</v>
      </c>
    </row>
    <row r="133" spans="1:11" x14ac:dyDescent="0.25">
      <c r="A133" t="s">
        <v>217</v>
      </c>
      <c r="B133" s="1">
        <v>45841</v>
      </c>
      <c r="C133" t="s">
        <v>47</v>
      </c>
      <c r="D133" t="s">
        <v>22</v>
      </c>
      <c r="E133">
        <v>500</v>
      </c>
      <c r="F133">
        <v>2</v>
      </c>
      <c r="G133">
        <v>1000</v>
      </c>
      <c r="H133" t="s">
        <v>33</v>
      </c>
      <c r="J133" t="s">
        <v>17</v>
      </c>
      <c r="K133" t="s">
        <v>25</v>
      </c>
    </row>
    <row r="134" spans="1:11" x14ac:dyDescent="0.25">
      <c r="A134" t="s">
        <v>218</v>
      </c>
      <c r="B134" t="s">
        <v>83</v>
      </c>
      <c r="C134" t="s">
        <v>101</v>
      </c>
      <c r="D134" t="s">
        <v>22</v>
      </c>
      <c r="E134">
        <v>800</v>
      </c>
      <c r="F134">
        <v>1</v>
      </c>
      <c r="G134">
        <v>800</v>
      </c>
      <c r="H134" t="s">
        <v>23</v>
      </c>
      <c r="I134" t="s">
        <v>16</v>
      </c>
      <c r="J134" t="s">
        <v>30</v>
      </c>
      <c r="K134" t="s">
        <v>25</v>
      </c>
    </row>
    <row r="135" spans="1:11" x14ac:dyDescent="0.25">
      <c r="A135" t="s">
        <v>219</v>
      </c>
      <c r="B135" s="1">
        <v>45840</v>
      </c>
      <c r="C135" t="s">
        <v>47</v>
      </c>
      <c r="D135" t="s">
        <v>22</v>
      </c>
      <c r="E135">
        <v>500</v>
      </c>
      <c r="F135">
        <v>5</v>
      </c>
      <c r="G135">
        <v>2500</v>
      </c>
      <c r="H135" t="s">
        <v>56</v>
      </c>
      <c r="I135" t="s">
        <v>93</v>
      </c>
      <c r="J135" t="s">
        <v>63</v>
      </c>
      <c r="K135" t="s">
        <v>25</v>
      </c>
    </row>
    <row r="136" spans="1:11" x14ac:dyDescent="0.25">
      <c r="A136" t="s">
        <v>220</v>
      </c>
      <c r="B136" s="1">
        <v>45932</v>
      </c>
      <c r="C136" t="s">
        <v>39</v>
      </c>
      <c r="D136" t="s">
        <v>40</v>
      </c>
      <c r="E136">
        <v>20</v>
      </c>
      <c r="F136">
        <v>1</v>
      </c>
      <c r="G136">
        <v>20</v>
      </c>
      <c r="H136" t="s">
        <v>33</v>
      </c>
      <c r="I136" t="s">
        <v>49</v>
      </c>
      <c r="J136" t="s">
        <v>35</v>
      </c>
      <c r="K136" t="s">
        <v>25</v>
      </c>
    </row>
    <row r="137" spans="1:11" x14ac:dyDescent="0.25">
      <c r="A137" t="s">
        <v>221</v>
      </c>
      <c r="B137" s="1">
        <v>45963</v>
      </c>
      <c r="C137" t="s">
        <v>72</v>
      </c>
      <c r="D137" t="s">
        <v>66</v>
      </c>
      <c r="E137">
        <v>1200</v>
      </c>
      <c r="F137">
        <v>2</v>
      </c>
      <c r="G137">
        <v>2400</v>
      </c>
      <c r="H137" t="s">
        <v>62</v>
      </c>
      <c r="I137" t="s">
        <v>24</v>
      </c>
      <c r="J137" t="s">
        <v>44</v>
      </c>
      <c r="K137" t="s">
        <v>18</v>
      </c>
    </row>
    <row r="138" spans="1:11" x14ac:dyDescent="0.25">
      <c r="A138" t="s">
        <v>222</v>
      </c>
      <c r="B138" t="s">
        <v>20</v>
      </c>
      <c r="C138" t="s">
        <v>37</v>
      </c>
      <c r="D138" t="s">
        <v>22</v>
      </c>
      <c r="E138">
        <v>150</v>
      </c>
      <c r="F138">
        <v>3</v>
      </c>
      <c r="G138">
        <v>450</v>
      </c>
      <c r="H138" t="s">
        <v>48</v>
      </c>
      <c r="I138" t="s">
        <v>24</v>
      </c>
      <c r="J138" t="s">
        <v>17</v>
      </c>
      <c r="K138" t="s">
        <v>45</v>
      </c>
    </row>
    <row r="139" spans="1:11" x14ac:dyDescent="0.25">
      <c r="A139" t="s">
        <v>223</v>
      </c>
      <c r="B139" s="1">
        <v>45963</v>
      </c>
      <c r="C139" t="s">
        <v>37</v>
      </c>
      <c r="D139" t="s">
        <v>22</v>
      </c>
      <c r="E139">
        <v>150</v>
      </c>
      <c r="F139">
        <v>5</v>
      </c>
      <c r="G139">
        <v>750</v>
      </c>
      <c r="H139" t="s">
        <v>28</v>
      </c>
      <c r="I139" t="s">
        <v>75</v>
      </c>
      <c r="J139" t="s">
        <v>35</v>
      </c>
      <c r="K139" t="s">
        <v>18</v>
      </c>
    </row>
    <row r="140" spans="1:11" x14ac:dyDescent="0.25">
      <c r="A140" t="s">
        <v>224</v>
      </c>
      <c r="B140" t="s">
        <v>42</v>
      </c>
      <c r="C140" t="s">
        <v>101</v>
      </c>
      <c r="E140">
        <v>800</v>
      </c>
      <c r="G140">
        <v>1600</v>
      </c>
      <c r="H140" t="s">
        <v>60</v>
      </c>
      <c r="I140" t="s">
        <v>29</v>
      </c>
      <c r="J140" t="s">
        <v>44</v>
      </c>
      <c r="K140" t="s">
        <v>18</v>
      </c>
    </row>
    <row r="141" spans="1:11" x14ac:dyDescent="0.25">
      <c r="A141" t="s">
        <v>225</v>
      </c>
      <c r="B141" t="s">
        <v>129</v>
      </c>
      <c r="C141" t="s">
        <v>37</v>
      </c>
      <c r="D141" t="s">
        <v>22</v>
      </c>
      <c r="E141">
        <v>150</v>
      </c>
      <c r="F141">
        <v>2</v>
      </c>
      <c r="G141">
        <v>300</v>
      </c>
      <c r="H141" t="s">
        <v>33</v>
      </c>
      <c r="I141" t="s">
        <v>49</v>
      </c>
      <c r="J141" t="s">
        <v>17</v>
      </c>
      <c r="K141" t="s">
        <v>45</v>
      </c>
    </row>
    <row r="142" spans="1:11" x14ac:dyDescent="0.25">
      <c r="A142" t="s">
        <v>226</v>
      </c>
      <c r="B142" t="s">
        <v>197</v>
      </c>
      <c r="C142" t="s">
        <v>47</v>
      </c>
      <c r="D142" t="s">
        <v>22</v>
      </c>
      <c r="E142">
        <v>500</v>
      </c>
      <c r="F142">
        <v>2</v>
      </c>
      <c r="G142">
        <v>1000</v>
      </c>
      <c r="H142" t="s">
        <v>28</v>
      </c>
      <c r="I142" t="s">
        <v>49</v>
      </c>
      <c r="J142" t="s">
        <v>44</v>
      </c>
      <c r="K142" t="s">
        <v>45</v>
      </c>
    </row>
    <row r="143" spans="1:11" x14ac:dyDescent="0.25">
      <c r="A143" t="s">
        <v>227</v>
      </c>
      <c r="B143" t="s">
        <v>115</v>
      </c>
      <c r="C143" t="s">
        <v>47</v>
      </c>
      <c r="D143" t="s">
        <v>22</v>
      </c>
      <c r="E143">
        <v>500</v>
      </c>
      <c r="F143">
        <v>3</v>
      </c>
      <c r="G143">
        <v>1500</v>
      </c>
      <c r="H143" t="s">
        <v>48</v>
      </c>
      <c r="I143" t="s">
        <v>49</v>
      </c>
      <c r="J143" t="s">
        <v>63</v>
      </c>
      <c r="K143" t="s">
        <v>45</v>
      </c>
    </row>
    <row r="144" spans="1:11" x14ac:dyDescent="0.25">
      <c r="A144" t="s">
        <v>228</v>
      </c>
      <c r="B144" t="s">
        <v>144</v>
      </c>
      <c r="D144" t="s">
        <v>66</v>
      </c>
      <c r="E144">
        <v>1200</v>
      </c>
      <c r="F144">
        <v>2</v>
      </c>
      <c r="G144">
        <v>2400</v>
      </c>
      <c r="H144" t="s">
        <v>92</v>
      </c>
      <c r="I144" t="s">
        <v>34</v>
      </c>
      <c r="J144" t="s">
        <v>44</v>
      </c>
      <c r="K144" t="s">
        <v>18</v>
      </c>
    </row>
    <row r="145" spans="1:11" x14ac:dyDescent="0.25">
      <c r="A145" t="s">
        <v>229</v>
      </c>
      <c r="B145" t="s">
        <v>200</v>
      </c>
      <c r="C145" t="s">
        <v>59</v>
      </c>
      <c r="D145" t="s">
        <v>40</v>
      </c>
      <c r="E145">
        <v>40</v>
      </c>
      <c r="F145">
        <v>2</v>
      </c>
      <c r="G145">
        <v>80</v>
      </c>
      <c r="H145" t="s">
        <v>60</v>
      </c>
      <c r="I145" t="s">
        <v>75</v>
      </c>
      <c r="J145" t="s">
        <v>63</v>
      </c>
      <c r="K145" t="s">
        <v>18</v>
      </c>
    </row>
    <row r="146" spans="1:11" x14ac:dyDescent="0.25">
      <c r="A146" t="s">
        <v>230</v>
      </c>
      <c r="B146" s="1">
        <v>45872</v>
      </c>
      <c r="C146" t="s">
        <v>37</v>
      </c>
      <c r="D146" t="s">
        <v>22</v>
      </c>
      <c r="F146">
        <v>2</v>
      </c>
      <c r="G146">
        <v>300</v>
      </c>
      <c r="H146" t="s">
        <v>60</v>
      </c>
      <c r="I146" t="s">
        <v>69</v>
      </c>
      <c r="J146" t="s">
        <v>17</v>
      </c>
      <c r="K146" t="s">
        <v>18</v>
      </c>
    </row>
    <row r="147" spans="1:11" x14ac:dyDescent="0.25">
      <c r="A147" t="s">
        <v>231</v>
      </c>
      <c r="B147" t="s">
        <v>153</v>
      </c>
      <c r="C147" t="s">
        <v>37</v>
      </c>
      <c r="D147" t="s">
        <v>22</v>
      </c>
      <c r="E147">
        <v>150</v>
      </c>
      <c r="F147">
        <v>2</v>
      </c>
      <c r="G147">
        <v>300</v>
      </c>
      <c r="H147" t="s">
        <v>15</v>
      </c>
      <c r="I147" t="s">
        <v>51</v>
      </c>
      <c r="J147" t="s">
        <v>17</v>
      </c>
      <c r="K147" t="s">
        <v>45</v>
      </c>
    </row>
    <row r="148" spans="1:11" x14ac:dyDescent="0.25">
      <c r="A148" t="s">
        <v>232</v>
      </c>
      <c r="B148" s="1">
        <v>45779</v>
      </c>
      <c r="C148" t="s">
        <v>13</v>
      </c>
      <c r="D148" t="s">
        <v>14</v>
      </c>
      <c r="E148">
        <v>60</v>
      </c>
      <c r="F148">
        <v>5</v>
      </c>
      <c r="G148">
        <v>300</v>
      </c>
      <c r="H148" t="s">
        <v>92</v>
      </c>
      <c r="J148" t="s">
        <v>44</v>
      </c>
      <c r="K148" t="s">
        <v>25</v>
      </c>
    </row>
    <row r="149" spans="1:11" x14ac:dyDescent="0.25">
      <c r="A149" t="s">
        <v>233</v>
      </c>
      <c r="B149" s="1">
        <v>45810</v>
      </c>
      <c r="C149" t="s">
        <v>21</v>
      </c>
      <c r="D149" t="s">
        <v>22</v>
      </c>
      <c r="E149">
        <v>100</v>
      </c>
      <c r="F149">
        <v>4</v>
      </c>
      <c r="G149">
        <v>400</v>
      </c>
      <c r="H149" t="s">
        <v>23</v>
      </c>
      <c r="I149" t="s">
        <v>75</v>
      </c>
      <c r="J149" t="s">
        <v>30</v>
      </c>
      <c r="K149" t="s">
        <v>18</v>
      </c>
    </row>
    <row r="150" spans="1:11" x14ac:dyDescent="0.25">
      <c r="A150" t="s">
        <v>234</v>
      </c>
      <c r="B150" t="s">
        <v>20</v>
      </c>
      <c r="C150" t="s">
        <v>13</v>
      </c>
      <c r="D150" t="s">
        <v>14</v>
      </c>
      <c r="E150">
        <v>60</v>
      </c>
      <c r="F150">
        <v>3</v>
      </c>
      <c r="G150">
        <v>180</v>
      </c>
      <c r="H150" t="s">
        <v>60</v>
      </c>
      <c r="I150" t="s">
        <v>16</v>
      </c>
      <c r="J150" t="s">
        <v>63</v>
      </c>
      <c r="K150" t="s">
        <v>25</v>
      </c>
    </row>
    <row r="151" spans="1:11" x14ac:dyDescent="0.25">
      <c r="A151" t="s">
        <v>235</v>
      </c>
      <c r="B151" s="1">
        <v>45871</v>
      </c>
      <c r="C151" t="s">
        <v>55</v>
      </c>
      <c r="D151" t="s">
        <v>84</v>
      </c>
      <c r="E151">
        <v>15</v>
      </c>
      <c r="F151">
        <v>4</v>
      </c>
      <c r="G151">
        <v>60</v>
      </c>
      <c r="H151" t="s">
        <v>62</v>
      </c>
      <c r="I151" t="s">
        <v>93</v>
      </c>
      <c r="J151" t="s">
        <v>63</v>
      </c>
      <c r="K151" t="s">
        <v>18</v>
      </c>
    </row>
    <row r="152" spans="1:11" x14ac:dyDescent="0.25">
      <c r="A152" t="s">
        <v>236</v>
      </c>
      <c r="B152" t="s">
        <v>237</v>
      </c>
      <c r="C152" t="s">
        <v>65</v>
      </c>
      <c r="D152" t="s">
        <v>66</v>
      </c>
      <c r="E152">
        <v>600</v>
      </c>
      <c r="G152">
        <v>2400</v>
      </c>
      <c r="H152" t="s">
        <v>92</v>
      </c>
      <c r="I152" t="s">
        <v>75</v>
      </c>
      <c r="J152" t="s">
        <v>30</v>
      </c>
      <c r="K152" t="s">
        <v>25</v>
      </c>
    </row>
    <row r="153" spans="1:11" x14ac:dyDescent="0.25">
      <c r="A153" t="s">
        <v>238</v>
      </c>
      <c r="B153" t="s">
        <v>163</v>
      </c>
      <c r="C153" t="s">
        <v>37</v>
      </c>
      <c r="D153" t="s">
        <v>22</v>
      </c>
      <c r="E153">
        <v>150</v>
      </c>
      <c r="F153">
        <v>1</v>
      </c>
      <c r="G153">
        <v>150</v>
      </c>
      <c r="H153" t="s">
        <v>28</v>
      </c>
      <c r="I153" t="s">
        <v>69</v>
      </c>
      <c r="J153" t="s">
        <v>63</v>
      </c>
      <c r="K153" t="s">
        <v>45</v>
      </c>
    </row>
    <row r="154" spans="1:11" x14ac:dyDescent="0.25">
      <c r="A154" t="s">
        <v>239</v>
      </c>
      <c r="B154" t="s">
        <v>83</v>
      </c>
      <c r="C154" t="s">
        <v>37</v>
      </c>
      <c r="D154" t="s">
        <v>22</v>
      </c>
      <c r="E154">
        <v>150</v>
      </c>
      <c r="F154">
        <v>5</v>
      </c>
      <c r="G154">
        <v>750</v>
      </c>
      <c r="H154" t="s">
        <v>48</v>
      </c>
      <c r="I154" t="s">
        <v>24</v>
      </c>
      <c r="J154" t="s">
        <v>44</v>
      </c>
      <c r="K154" t="s">
        <v>25</v>
      </c>
    </row>
    <row r="155" spans="1:11" x14ac:dyDescent="0.25">
      <c r="A155" t="s">
        <v>240</v>
      </c>
      <c r="B155" s="1">
        <v>45660</v>
      </c>
      <c r="C155" t="s">
        <v>21</v>
      </c>
      <c r="E155">
        <v>100</v>
      </c>
      <c r="F155">
        <v>2</v>
      </c>
      <c r="G155">
        <v>200</v>
      </c>
      <c r="H155" t="s">
        <v>28</v>
      </c>
      <c r="I155" t="s">
        <v>29</v>
      </c>
      <c r="J155" t="s">
        <v>17</v>
      </c>
      <c r="K155" t="s">
        <v>45</v>
      </c>
    </row>
    <row r="156" spans="1:11" x14ac:dyDescent="0.25">
      <c r="A156" t="s">
        <v>241</v>
      </c>
      <c r="B156" s="1">
        <v>45779</v>
      </c>
      <c r="D156" t="s">
        <v>66</v>
      </c>
      <c r="E156">
        <v>1200</v>
      </c>
      <c r="F156">
        <v>4</v>
      </c>
      <c r="G156">
        <v>4800</v>
      </c>
      <c r="H156" t="s">
        <v>48</v>
      </c>
      <c r="I156" t="s">
        <v>69</v>
      </c>
      <c r="J156" t="s">
        <v>35</v>
      </c>
      <c r="K156" t="s">
        <v>25</v>
      </c>
    </row>
    <row r="157" spans="1:11" x14ac:dyDescent="0.25">
      <c r="A157" t="s">
        <v>242</v>
      </c>
      <c r="B157" t="s">
        <v>141</v>
      </c>
      <c r="C157" t="s">
        <v>37</v>
      </c>
      <c r="D157" t="s">
        <v>22</v>
      </c>
      <c r="E157">
        <v>150</v>
      </c>
      <c r="F157">
        <v>4</v>
      </c>
      <c r="G157">
        <v>600</v>
      </c>
      <c r="H157" t="s">
        <v>33</v>
      </c>
      <c r="I157" t="s">
        <v>49</v>
      </c>
      <c r="J157" t="s">
        <v>44</v>
      </c>
      <c r="K157" t="s">
        <v>18</v>
      </c>
    </row>
    <row r="158" spans="1:11" x14ac:dyDescent="0.25">
      <c r="A158" t="s">
        <v>243</v>
      </c>
      <c r="B158" s="1">
        <v>45871</v>
      </c>
      <c r="C158" t="s">
        <v>47</v>
      </c>
      <c r="D158" t="s">
        <v>22</v>
      </c>
      <c r="F158">
        <v>3</v>
      </c>
      <c r="G158">
        <v>1500</v>
      </c>
      <c r="H158" t="s">
        <v>48</v>
      </c>
      <c r="I158" t="s">
        <v>29</v>
      </c>
      <c r="J158" t="s">
        <v>35</v>
      </c>
      <c r="K158" t="s">
        <v>25</v>
      </c>
    </row>
    <row r="159" spans="1:11" x14ac:dyDescent="0.25">
      <c r="A159" t="s">
        <v>244</v>
      </c>
      <c r="B159" t="s">
        <v>124</v>
      </c>
      <c r="C159" t="s">
        <v>101</v>
      </c>
      <c r="D159" t="s">
        <v>22</v>
      </c>
      <c r="E159">
        <v>800</v>
      </c>
      <c r="F159">
        <v>3</v>
      </c>
      <c r="G159">
        <v>2400</v>
      </c>
      <c r="H159" t="s">
        <v>80</v>
      </c>
      <c r="I159" t="s">
        <v>49</v>
      </c>
      <c r="J159" t="s">
        <v>17</v>
      </c>
      <c r="K159" t="s">
        <v>25</v>
      </c>
    </row>
    <row r="160" spans="1:11" x14ac:dyDescent="0.25">
      <c r="A160" t="s">
        <v>245</v>
      </c>
      <c r="B160" t="s">
        <v>104</v>
      </c>
      <c r="C160" t="s">
        <v>39</v>
      </c>
      <c r="D160" t="s">
        <v>40</v>
      </c>
      <c r="E160">
        <v>20</v>
      </c>
      <c r="F160">
        <v>2</v>
      </c>
      <c r="G160">
        <v>40</v>
      </c>
      <c r="H160" t="s">
        <v>56</v>
      </c>
      <c r="J160" t="s">
        <v>63</v>
      </c>
      <c r="K160" t="s">
        <v>18</v>
      </c>
    </row>
    <row r="161" spans="1:11" x14ac:dyDescent="0.25">
      <c r="A161" t="s">
        <v>246</v>
      </c>
      <c r="B161" s="1">
        <v>45810</v>
      </c>
      <c r="C161" t="s">
        <v>65</v>
      </c>
      <c r="D161" t="s">
        <v>66</v>
      </c>
      <c r="E161">
        <v>600</v>
      </c>
      <c r="F161">
        <v>3</v>
      </c>
      <c r="G161">
        <v>1800</v>
      </c>
      <c r="H161" t="s">
        <v>33</v>
      </c>
      <c r="I161" t="s">
        <v>29</v>
      </c>
      <c r="J161" t="s">
        <v>63</v>
      </c>
      <c r="K161" t="s">
        <v>18</v>
      </c>
    </row>
    <row r="162" spans="1:11" x14ac:dyDescent="0.25">
      <c r="A162" t="s">
        <v>247</v>
      </c>
      <c r="B162" t="s">
        <v>185</v>
      </c>
      <c r="C162" t="s">
        <v>21</v>
      </c>
      <c r="D162" t="s">
        <v>22</v>
      </c>
      <c r="E162">
        <v>100</v>
      </c>
      <c r="F162">
        <v>1</v>
      </c>
      <c r="G162">
        <v>100</v>
      </c>
      <c r="H162" t="s">
        <v>23</v>
      </c>
      <c r="I162" t="s">
        <v>75</v>
      </c>
      <c r="J162" t="s">
        <v>35</v>
      </c>
      <c r="K162" t="s">
        <v>45</v>
      </c>
    </row>
    <row r="163" spans="1:11" x14ac:dyDescent="0.25">
      <c r="A163" t="s">
        <v>248</v>
      </c>
      <c r="B163" s="1">
        <v>45902</v>
      </c>
      <c r="C163" t="s">
        <v>47</v>
      </c>
      <c r="D163" t="s">
        <v>22</v>
      </c>
      <c r="E163">
        <v>500</v>
      </c>
      <c r="F163">
        <v>2</v>
      </c>
      <c r="G163">
        <v>1000</v>
      </c>
      <c r="H163" t="s">
        <v>33</v>
      </c>
      <c r="I163" t="s">
        <v>93</v>
      </c>
      <c r="J163" t="s">
        <v>35</v>
      </c>
      <c r="K163" t="s">
        <v>45</v>
      </c>
    </row>
    <row r="164" spans="1:11" x14ac:dyDescent="0.25">
      <c r="A164" t="s">
        <v>249</v>
      </c>
      <c r="B164" t="s">
        <v>68</v>
      </c>
      <c r="C164" t="s">
        <v>13</v>
      </c>
      <c r="D164" t="s">
        <v>14</v>
      </c>
      <c r="E164">
        <v>60</v>
      </c>
      <c r="F164">
        <v>2</v>
      </c>
      <c r="G164">
        <v>120</v>
      </c>
      <c r="H164" t="s">
        <v>80</v>
      </c>
      <c r="I164" t="s">
        <v>43</v>
      </c>
      <c r="J164" t="s">
        <v>44</v>
      </c>
      <c r="K164" t="s">
        <v>45</v>
      </c>
    </row>
    <row r="165" spans="1:11" x14ac:dyDescent="0.25">
      <c r="A165" t="s">
        <v>250</v>
      </c>
      <c r="B165" t="s">
        <v>147</v>
      </c>
      <c r="C165" t="s">
        <v>37</v>
      </c>
      <c r="D165" t="s">
        <v>22</v>
      </c>
      <c r="E165">
        <v>150</v>
      </c>
      <c r="F165">
        <v>5</v>
      </c>
      <c r="G165">
        <v>750</v>
      </c>
      <c r="H165" t="s">
        <v>60</v>
      </c>
      <c r="I165" t="s">
        <v>51</v>
      </c>
      <c r="J165" t="s">
        <v>17</v>
      </c>
      <c r="K165" t="s">
        <v>25</v>
      </c>
    </row>
    <row r="166" spans="1:11" x14ac:dyDescent="0.25">
      <c r="A166" t="s">
        <v>251</v>
      </c>
      <c r="B166" t="s">
        <v>12</v>
      </c>
      <c r="C166" t="s">
        <v>55</v>
      </c>
      <c r="D166" t="s">
        <v>84</v>
      </c>
      <c r="E166">
        <v>15</v>
      </c>
      <c r="F166">
        <v>1</v>
      </c>
      <c r="G166">
        <v>15</v>
      </c>
      <c r="H166" t="s">
        <v>56</v>
      </c>
      <c r="I166" t="s">
        <v>16</v>
      </c>
      <c r="J166" t="s">
        <v>30</v>
      </c>
      <c r="K166" t="s">
        <v>25</v>
      </c>
    </row>
    <row r="167" spans="1:11" x14ac:dyDescent="0.25">
      <c r="A167" t="s">
        <v>252</v>
      </c>
      <c r="B167" t="s">
        <v>137</v>
      </c>
      <c r="C167" t="s">
        <v>65</v>
      </c>
      <c r="D167" t="s">
        <v>66</v>
      </c>
      <c r="E167">
        <v>600</v>
      </c>
      <c r="G167">
        <v>2400</v>
      </c>
      <c r="H167" t="s">
        <v>80</v>
      </c>
      <c r="I167" t="s">
        <v>43</v>
      </c>
      <c r="J167" t="s">
        <v>35</v>
      </c>
      <c r="K167" t="s">
        <v>25</v>
      </c>
    </row>
    <row r="168" spans="1:11" x14ac:dyDescent="0.25">
      <c r="A168" t="s">
        <v>253</v>
      </c>
      <c r="B168" t="s">
        <v>20</v>
      </c>
      <c r="D168" t="s">
        <v>66</v>
      </c>
      <c r="E168">
        <v>1200</v>
      </c>
      <c r="F168">
        <v>2</v>
      </c>
      <c r="G168">
        <v>2400</v>
      </c>
      <c r="H168" t="s">
        <v>33</v>
      </c>
      <c r="I168" t="s">
        <v>69</v>
      </c>
      <c r="J168" t="s">
        <v>35</v>
      </c>
      <c r="K168" t="s">
        <v>45</v>
      </c>
    </row>
    <row r="169" spans="1:11" x14ac:dyDescent="0.25">
      <c r="A169" t="s">
        <v>254</v>
      </c>
      <c r="B169" t="s">
        <v>86</v>
      </c>
      <c r="C169" t="s">
        <v>101</v>
      </c>
      <c r="D169" t="s">
        <v>22</v>
      </c>
      <c r="E169">
        <v>800</v>
      </c>
      <c r="F169">
        <v>5</v>
      </c>
      <c r="G169">
        <v>4000</v>
      </c>
      <c r="H169" t="s">
        <v>60</v>
      </c>
      <c r="I169" t="s">
        <v>49</v>
      </c>
      <c r="J169" t="s">
        <v>17</v>
      </c>
      <c r="K169" t="s">
        <v>25</v>
      </c>
    </row>
    <row r="170" spans="1:11" x14ac:dyDescent="0.25">
      <c r="A170" t="s">
        <v>255</v>
      </c>
      <c r="B170" s="1">
        <v>45811</v>
      </c>
      <c r="C170" t="s">
        <v>72</v>
      </c>
      <c r="F170">
        <v>2</v>
      </c>
      <c r="G170">
        <v>2400</v>
      </c>
      <c r="H170" t="s">
        <v>28</v>
      </c>
      <c r="I170" t="s">
        <v>29</v>
      </c>
      <c r="J170" t="s">
        <v>44</v>
      </c>
      <c r="K170" t="s">
        <v>45</v>
      </c>
    </row>
    <row r="171" spans="1:11" x14ac:dyDescent="0.25">
      <c r="A171" t="s">
        <v>256</v>
      </c>
      <c r="B171" t="s">
        <v>163</v>
      </c>
      <c r="C171" t="s">
        <v>101</v>
      </c>
      <c r="D171" t="s">
        <v>22</v>
      </c>
      <c r="E171">
        <v>800</v>
      </c>
      <c r="F171">
        <v>1</v>
      </c>
      <c r="G171">
        <v>800</v>
      </c>
      <c r="H171" t="s">
        <v>15</v>
      </c>
      <c r="I171" t="s">
        <v>24</v>
      </c>
      <c r="J171" t="s">
        <v>63</v>
      </c>
      <c r="K171" t="s">
        <v>25</v>
      </c>
    </row>
    <row r="172" spans="1:11" x14ac:dyDescent="0.25">
      <c r="A172" t="s">
        <v>257</v>
      </c>
      <c r="B172" t="s">
        <v>163</v>
      </c>
      <c r="C172" t="s">
        <v>37</v>
      </c>
      <c r="D172" t="s">
        <v>22</v>
      </c>
      <c r="E172">
        <v>150</v>
      </c>
      <c r="F172">
        <v>2</v>
      </c>
      <c r="G172">
        <v>300</v>
      </c>
      <c r="H172" t="s">
        <v>62</v>
      </c>
      <c r="I172" t="s">
        <v>43</v>
      </c>
      <c r="J172" t="s">
        <v>44</v>
      </c>
      <c r="K172" t="s">
        <v>45</v>
      </c>
    </row>
    <row r="173" spans="1:11" x14ac:dyDescent="0.25">
      <c r="A173" t="s">
        <v>258</v>
      </c>
      <c r="B173" s="1">
        <v>45994</v>
      </c>
      <c r="C173" t="s">
        <v>55</v>
      </c>
      <c r="D173" t="s">
        <v>84</v>
      </c>
      <c r="E173">
        <v>15</v>
      </c>
      <c r="F173">
        <v>1</v>
      </c>
      <c r="G173">
        <v>15</v>
      </c>
      <c r="H173" t="s">
        <v>56</v>
      </c>
      <c r="I173" t="s">
        <v>49</v>
      </c>
      <c r="J173" t="s">
        <v>17</v>
      </c>
      <c r="K173" t="s">
        <v>18</v>
      </c>
    </row>
    <row r="174" spans="1:11" x14ac:dyDescent="0.25">
      <c r="A174" t="s">
        <v>259</v>
      </c>
      <c r="B174" t="s">
        <v>163</v>
      </c>
      <c r="C174" t="s">
        <v>72</v>
      </c>
      <c r="D174" t="s">
        <v>66</v>
      </c>
      <c r="E174">
        <v>1200</v>
      </c>
      <c r="F174">
        <v>1</v>
      </c>
      <c r="G174">
        <v>1200</v>
      </c>
      <c r="H174" t="s">
        <v>33</v>
      </c>
      <c r="I174" t="s">
        <v>69</v>
      </c>
      <c r="J174" t="s">
        <v>44</v>
      </c>
      <c r="K174" t="s">
        <v>45</v>
      </c>
    </row>
    <row r="175" spans="1:11" x14ac:dyDescent="0.25">
      <c r="A175" t="s">
        <v>260</v>
      </c>
      <c r="B175" t="s">
        <v>58</v>
      </c>
      <c r="C175" t="s">
        <v>37</v>
      </c>
      <c r="D175" t="s">
        <v>22</v>
      </c>
      <c r="E175">
        <v>150</v>
      </c>
      <c r="F175">
        <v>2</v>
      </c>
      <c r="G175">
        <v>300</v>
      </c>
      <c r="H175" t="s">
        <v>56</v>
      </c>
      <c r="I175" t="s">
        <v>93</v>
      </c>
      <c r="J175" t="s">
        <v>17</v>
      </c>
      <c r="K175" t="s">
        <v>25</v>
      </c>
    </row>
    <row r="176" spans="1:11" x14ac:dyDescent="0.25">
      <c r="A176" t="s">
        <v>261</v>
      </c>
      <c r="B176" t="s">
        <v>86</v>
      </c>
      <c r="C176" t="s">
        <v>59</v>
      </c>
      <c r="D176" t="s">
        <v>40</v>
      </c>
      <c r="E176">
        <v>40</v>
      </c>
      <c r="F176">
        <v>5</v>
      </c>
      <c r="G176">
        <v>200</v>
      </c>
      <c r="H176" t="s">
        <v>56</v>
      </c>
      <c r="J176" t="s">
        <v>17</v>
      </c>
      <c r="K176" t="s">
        <v>18</v>
      </c>
    </row>
    <row r="177" spans="1:11" x14ac:dyDescent="0.25">
      <c r="A177" t="s">
        <v>262</v>
      </c>
      <c r="B177" t="s">
        <v>263</v>
      </c>
      <c r="C177" t="s">
        <v>55</v>
      </c>
      <c r="D177" t="s">
        <v>84</v>
      </c>
      <c r="E177">
        <v>15</v>
      </c>
      <c r="F177">
        <v>1</v>
      </c>
      <c r="G177">
        <v>15</v>
      </c>
      <c r="H177" t="s">
        <v>60</v>
      </c>
      <c r="I177" t="s">
        <v>51</v>
      </c>
      <c r="J177" t="s">
        <v>30</v>
      </c>
      <c r="K177" t="s">
        <v>45</v>
      </c>
    </row>
    <row r="178" spans="1:11" x14ac:dyDescent="0.25">
      <c r="A178" t="s">
        <v>264</v>
      </c>
      <c r="B178" t="s">
        <v>12</v>
      </c>
      <c r="C178" t="s">
        <v>55</v>
      </c>
      <c r="D178" t="s">
        <v>84</v>
      </c>
      <c r="E178">
        <v>15</v>
      </c>
      <c r="F178">
        <v>5</v>
      </c>
      <c r="G178">
        <v>75</v>
      </c>
      <c r="H178" t="s">
        <v>56</v>
      </c>
      <c r="I178" t="s">
        <v>24</v>
      </c>
      <c r="J178" t="s">
        <v>35</v>
      </c>
      <c r="K178" t="s">
        <v>25</v>
      </c>
    </row>
    <row r="179" spans="1:11" x14ac:dyDescent="0.25">
      <c r="A179" t="s">
        <v>265</v>
      </c>
      <c r="B179" s="1">
        <v>45810</v>
      </c>
      <c r="C179" t="s">
        <v>47</v>
      </c>
      <c r="D179" t="s">
        <v>22</v>
      </c>
      <c r="E179">
        <v>500</v>
      </c>
      <c r="G179">
        <v>1500</v>
      </c>
      <c r="H179" t="s">
        <v>23</v>
      </c>
      <c r="I179" t="s">
        <v>93</v>
      </c>
      <c r="J179" t="s">
        <v>44</v>
      </c>
      <c r="K179" t="s">
        <v>45</v>
      </c>
    </row>
    <row r="180" spans="1:11" x14ac:dyDescent="0.25">
      <c r="A180" t="s">
        <v>266</v>
      </c>
      <c r="B180" t="s">
        <v>153</v>
      </c>
      <c r="D180" t="s">
        <v>40</v>
      </c>
      <c r="E180">
        <v>40</v>
      </c>
      <c r="F180">
        <v>1</v>
      </c>
      <c r="G180">
        <v>40</v>
      </c>
      <c r="H180" t="s">
        <v>33</v>
      </c>
      <c r="I180" t="s">
        <v>69</v>
      </c>
      <c r="J180" t="s">
        <v>44</v>
      </c>
      <c r="K180" t="s">
        <v>18</v>
      </c>
    </row>
    <row r="181" spans="1:11" x14ac:dyDescent="0.25">
      <c r="A181" t="s">
        <v>267</v>
      </c>
      <c r="B181" s="1">
        <v>45750</v>
      </c>
      <c r="C181" t="s">
        <v>72</v>
      </c>
      <c r="D181" t="s">
        <v>66</v>
      </c>
      <c r="E181">
        <v>1200</v>
      </c>
      <c r="F181">
        <v>3</v>
      </c>
      <c r="G181">
        <v>3600</v>
      </c>
      <c r="H181" t="s">
        <v>56</v>
      </c>
      <c r="I181" t="s">
        <v>51</v>
      </c>
      <c r="J181" t="s">
        <v>63</v>
      </c>
      <c r="K181" t="s">
        <v>45</v>
      </c>
    </row>
    <row r="182" spans="1:11" x14ac:dyDescent="0.25">
      <c r="A182" t="s">
        <v>268</v>
      </c>
      <c r="B182" s="1">
        <v>45719</v>
      </c>
      <c r="C182" t="s">
        <v>13</v>
      </c>
      <c r="E182">
        <v>60</v>
      </c>
      <c r="F182">
        <v>2</v>
      </c>
      <c r="G182">
        <v>120</v>
      </c>
      <c r="H182" t="s">
        <v>56</v>
      </c>
      <c r="I182" t="s">
        <v>75</v>
      </c>
      <c r="J182" t="s">
        <v>17</v>
      </c>
      <c r="K182" t="s">
        <v>18</v>
      </c>
    </row>
    <row r="183" spans="1:11" x14ac:dyDescent="0.25">
      <c r="A183" t="s">
        <v>269</v>
      </c>
      <c r="B183" s="1">
        <v>45692</v>
      </c>
      <c r="C183" t="s">
        <v>39</v>
      </c>
      <c r="D183" t="s">
        <v>40</v>
      </c>
      <c r="E183">
        <v>20</v>
      </c>
      <c r="F183">
        <v>5</v>
      </c>
      <c r="G183">
        <v>100</v>
      </c>
      <c r="H183" t="s">
        <v>15</v>
      </c>
      <c r="I183" t="s">
        <v>29</v>
      </c>
      <c r="J183" t="s">
        <v>44</v>
      </c>
      <c r="K183" t="s">
        <v>45</v>
      </c>
    </row>
    <row r="184" spans="1:11" x14ac:dyDescent="0.25">
      <c r="A184" t="s">
        <v>270</v>
      </c>
      <c r="B184" t="s">
        <v>153</v>
      </c>
      <c r="C184" t="s">
        <v>65</v>
      </c>
      <c r="D184" t="s">
        <v>66</v>
      </c>
      <c r="E184">
        <v>600</v>
      </c>
      <c r="F184">
        <v>1</v>
      </c>
      <c r="G184">
        <v>600</v>
      </c>
      <c r="H184" t="s">
        <v>15</v>
      </c>
      <c r="I184" t="s">
        <v>69</v>
      </c>
      <c r="J184" t="s">
        <v>17</v>
      </c>
      <c r="K184" t="s">
        <v>25</v>
      </c>
    </row>
    <row r="185" spans="1:11" x14ac:dyDescent="0.25">
      <c r="A185" t="s">
        <v>271</v>
      </c>
      <c r="B185" t="s">
        <v>54</v>
      </c>
      <c r="C185" t="s">
        <v>55</v>
      </c>
      <c r="D185" t="s">
        <v>84</v>
      </c>
      <c r="F185">
        <v>5</v>
      </c>
      <c r="G185">
        <v>75</v>
      </c>
      <c r="H185" t="s">
        <v>62</v>
      </c>
      <c r="I185" t="s">
        <v>49</v>
      </c>
      <c r="J185" t="s">
        <v>17</v>
      </c>
      <c r="K185" t="s">
        <v>25</v>
      </c>
    </row>
    <row r="186" spans="1:11" x14ac:dyDescent="0.25">
      <c r="A186" t="s">
        <v>272</v>
      </c>
      <c r="B186" t="s">
        <v>77</v>
      </c>
      <c r="C186" t="s">
        <v>39</v>
      </c>
      <c r="D186" t="s">
        <v>40</v>
      </c>
      <c r="E186">
        <v>20</v>
      </c>
      <c r="F186">
        <v>1</v>
      </c>
      <c r="G186">
        <v>20</v>
      </c>
      <c r="H186" t="s">
        <v>80</v>
      </c>
      <c r="I186" t="s">
        <v>34</v>
      </c>
      <c r="J186" t="s">
        <v>17</v>
      </c>
      <c r="K186" t="s">
        <v>45</v>
      </c>
    </row>
    <row r="187" spans="1:11" x14ac:dyDescent="0.25">
      <c r="A187" t="s">
        <v>273</v>
      </c>
      <c r="B187" s="1">
        <v>45691</v>
      </c>
      <c r="C187" t="s">
        <v>65</v>
      </c>
      <c r="D187" t="s">
        <v>66</v>
      </c>
      <c r="E187">
        <v>600</v>
      </c>
      <c r="F187">
        <v>4</v>
      </c>
      <c r="G187">
        <v>2400</v>
      </c>
      <c r="H187" t="s">
        <v>60</v>
      </c>
      <c r="I187" t="s">
        <v>16</v>
      </c>
      <c r="J187" t="s">
        <v>44</v>
      </c>
      <c r="K187" t="s">
        <v>45</v>
      </c>
    </row>
    <row r="188" spans="1:11" x14ac:dyDescent="0.25">
      <c r="A188" t="s">
        <v>274</v>
      </c>
      <c r="B188" t="s">
        <v>58</v>
      </c>
      <c r="C188" t="s">
        <v>101</v>
      </c>
      <c r="D188" t="s">
        <v>22</v>
      </c>
      <c r="E188">
        <v>800</v>
      </c>
      <c r="G188">
        <v>2400</v>
      </c>
      <c r="H188" t="s">
        <v>28</v>
      </c>
      <c r="I188" t="s">
        <v>16</v>
      </c>
      <c r="J188" t="s">
        <v>44</v>
      </c>
      <c r="K188" t="s">
        <v>25</v>
      </c>
    </row>
    <row r="189" spans="1:11" x14ac:dyDescent="0.25">
      <c r="A189" t="s">
        <v>275</v>
      </c>
      <c r="B189" t="s">
        <v>89</v>
      </c>
      <c r="C189" t="s">
        <v>55</v>
      </c>
      <c r="D189" t="s">
        <v>84</v>
      </c>
      <c r="E189">
        <v>15</v>
      </c>
      <c r="F189">
        <v>1</v>
      </c>
      <c r="G189">
        <v>15</v>
      </c>
      <c r="H189" t="s">
        <v>28</v>
      </c>
      <c r="I189" t="s">
        <v>51</v>
      </c>
      <c r="J189" t="s">
        <v>30</v>
      </c>
      <c r="K189" t="s">
        <v>45</v>
      </c>
    </row>
    <row r="190" spans="1:11" x14ac:dyDescent="0.25">
      <c r="A190" t="s">
        <v>276</v>
      </c>
      <c r="B190" s="1">
        <v>45932</v>
      </c>
      <c r="C190" t="s">
        <v>101</v>
      </c>
      <c r="D190" t="s">
        <v>22</v>
      </c>
      <c r="E190">
        <v>800</v>
      </c>
      <c r="F190">
        <v>3</v>
      </c>
      <c r="G190">
        <v>2400</v>
      </c>
      <c r="H190" t="s">
        <v>92</v>
      </c>
      <c r="I190" t="s">
        <v>43</v>
      </c>
      <c r="J190" t="s">
        <v>30</v>
      </c>
      <c r="K190" t="s">
        <v>45</v>
      </c>
    </row>
    <row r="191" spans="1:11" x14ac:dyDescent="0.25">
      <c r="A191" t="s">
        <v>277</v>
      </c>
      <c r="B191" t="s">
        <v>83</v>
      </c>
      <c r="C191" t="s">
        <v>13</v>
      </c>
      <c r="E191">
        <v>60</v>
      </c>
      <c r="F191">
        <v>1</v>
      </c>
      <c r="G191">
        <v>60</v>
      </c>
      <c r="H191" t="s">
        <v>48</v>
      </c>
      <c r="J191" t="s">
        <v>44</v>
      </c>
      <c r="K191" t="s">
        <v>45</v>
      </c>
    </row>
    <row r="192" spans="1:11" x14ac:dyDescent="0.25">
      <c r="A192" t="s">
        <v>278</v>
      </c>
      <c r="B192" t="s">
        <v>163</v>
      </c>
      <c r="D192" t="s">
        <v>40</v>
      </c>
      <c r="E192">
        <v>40</v>
      </c>
      <c r="F192">
        <v>4</v>
      </c>
      <c r="G192">
        <v>160</v>
      </c>
      <c r="H192" t="s">
        <v>28</v>
      </c>
      <c r="I192" t="s">
        <v>69</v>
      </c>
      <c r="J192" t="s">
        <v>30</v>
      </c>
      <c r="K192" t="s">
        <v>25</v>
      </c>
    </row>
    <row r="193" spans="1:11" x14ac:dyDescent="0.25">
      <c r="A193" t="s">
        <v>279</v>
      </c>
      <c r="B193" t="s">
        <v>144</v>
      </c>
      <c r="C193" t="s">
        <v>21</v>
      </c>
      <c r="D193" t="s">
        <v>22</v>
      </c>
      <c r="E193">
        <v>100</v>
      </c>
      <c r="F193">
        <v>3</v>
      </c>
      <c r="G193">
        <v>300</v>
      </c>
      <c r="H193" t="s">
        <v>48</v>
      </c>
      <c r="I193" t="s">
        <v>34</v>
      </c>
      <c r="J193" t="s">
        <v>63</v>
      </c>
      <c r="K193" t="s">
        <v>25</v>
      </c>
    </row>
    <row r="194" spans="1:11" x14ac:dyDescent="0.25">
      <c r="A194" t="s">
        <v>280</v>
      </c>
      <c r="B194" t="s">
        <v>137</v>
      </c>
      <c r="C194" t="s">
        <v>55</v>
      </c>
      <c r="D194" t="s">
        <v>84</v>
      </c>
      <c r="E194">
        <v>15</v>
      </c>
      <c r="F194">
        <v>5</v>
      </c>
      <c r="G194">
        <v>75</v>
      </c>
      <c r="H194" t="s">
        <v>56</v>
      </c>
      <c r="I194" t="s">
        <v>93</v>
      </c>
      <c r="J194" t="s">
        <v>30</v>
      </c>
      <c r="K194" t="s">
        <v>25</v>
      </c>
    </row>
    <row r="195" spans="1:11" x14ac:dyDescent="0.25">
      <c r="A195" t="s">
        <v>281</v>
      </c>
      <c r="B195" t="s">
        <v>68</v>
      </c>
      <c r="C195" t="s">
        <v>59</v>
      </c>
      <c r="D195" t="s">
        <v>40</v>
      </c>
      <c r="E195">
        <v>40</v>
      </c>
      <c r="F195">
        <v>4</v>
      </c>
      <c r="G195">
        <v>160</v>
      </c>
      <c r="H195" t="s">
        <v>28</v>
      </c>
      <c r="I195" t="s">
        <v>24</v>
      </c>
      <c r="J195" t="s">
        <v>17</v>
      </c>
      <c r="K195" t="s">
        <v>18</v>
      </c>
    </row>
    <row r="196" spans="1:11" x14ac:dyDescent="0.25">
      <c r="A196" t="s">
        <v>282</v>
      </c>
      <c r="B196" s="1">
        <v>45933</v>
      </c>
      <c r="C196" t="s">
        <v>47</v>
      </c>
      <c r="D196" t="s">
        <v>22</v>
      </c>
      <c r="E196">
        <v>500</v>
      </c>
      <c r="F196">
        <v>3</v>
      </c>
      <c r="G196">
        <v>1500</v>
      </c>
      <c r="H196" t="s">
        <v>33</v>
      </c>
      <c r="I196" t="s">
        <v>29</v>
      </c>
      <c r="J196" t="s">
        <v>63</v>
      </c>
      <c r="K196" t="s">
        <v>18</v>
      </c>
    </row>
    <row r="197" spans="1:11" x14ac:dyDescent="0.25">
      <c r="A197" t="s">
        <v>283</v>
      </c>
      <c r="B197" s="1">
        <v>45750</v>
      </c>
      <c r="C197" t="s">
        <v>21</v>
      </c>
      <c r="D197" t="s">
        <v>22</v>
      </c>
      <c r="E197">
        <v>100</v>
      </c>
      <c r="F197">
        <v>5</v>
      </c>
      <c r="G197">
        <v>500</v>
      </c>
      <c r="H197" t="s">
        <v>62</v>
      </c>
      <c r="I197" t="s">
        <v>69</v>
      </c>
      <c r="J197" t="s">
        <v>17</v>
      </c>
      <c r="K197" t="s">
        <v>25</v>
      </c>
    </row>
    <row r="198" spans="1:11" x14ac:dyDescent="0.25">
      <c r="A198" t="s">
        <v>284</v>
      </c>
      <c r="B198" s="1">
        <v>45994</v>
      </c>
      <c r="C198" t="s">
        <v>13</v>
      </c>
      <c r="D198" t="s">
        <v>14</v>
      </c>
      <c r="E198">
        <v>60</v>
      </c>
      <c r="F198">
        <v>2</v>
      </c>
      <c r="G198">
        <v>120</v>
      </c>
      <c r="H198" t="s">
        <v>60</v>
      </c>
      <c r="I198" t="s">
        <v>29</v>
      </c>
      <c r="J198" t="s">
        <v>63</v>
      </c>
      <c r="K198" t="s">
        <v>45</v>
      </c>
    </row>
    <row r="199" spans="1:11" x14ac:dyDescent="0.25">
      <c r="A199" t="s">
        <v>285</v>
      </c>
      <c r="B199" t="s">
        <v>68</v>
      </c>
      <c r="C199" t="s">
        <v>101</v>
      </c>
      <c r="D199" t="s">
        <v>22</v>
      </c>
      <c r="E199">
        <v>800</v>
      </c>
      <c r="F199">
        <v>4</v>
      </c>
      <c r="G199">
        <v>3200</v>
      </c>
      <c r="H199" t="s">
        <v>92</v>
      </c>
      <c r="I199" t="s">
        <v>69</v>
      </c>
      <c r="J199" t="s">
        <v>30</v>
      </c>
      <c r="K199" t="s">
        <v>25</v>
      </c>
    </row>
    <row r="200" spans="1:11" x14ac:dyDescent="0.25">
      <c r="A200" t="s">
        <v>286</v>
      </c>
      <c r="B200" t="s">
        <v>185</v>
      </c>
      <c r="C200" t="s">
        <v>47</v>
      </c>
      <c r="D200" t="s">
        <v>22</v>
      </c>
      <c r="F200">
        <v>3</v>
      </c>
      <c r="G200">
        <v>1500</v>
      </c>
      <c r="H200" t="s">
        <v>80</v>
      </c>
      <c r="I200" t="s">
        <v>34</v>
      </c>
      <c r="J200" t="s">
        <v>35</v>
      </c>
      <c r="K200" t="s">
        <v>45</v>
      </c>
    </row>
    <row r="201" spans="1:11" x14ac:dyDescent="0.25">
      <c r="A201" t="s">
        <v>287</v>
      </c>
      <c r="B201" s="1">
        <v>45932</v>
      </c>
      <c r="C201" t="s">
        <v>55</v>
      </c>
      <c r="D201" t="s">
        <v>84</v>
      </c>
      <c r="E201">
        <v>15</v>
      </c>
      <c r="F201">
        <v>2</v>
      </c>
      <c r="G201">
        <v>30</v>
      </c>
      <c r="H201" t="s">
        <v>80</v>
      </c>
      <c r="I201" t="s">
        <v>75</v>
      </c>
      <c r="J201" t="s">
        <v>17</v>
      </c>
      <c r="K201" t="s">
        <v>45</v>
      </c>
    </row>
    <row r="202" spans="1:11" x14ac:dyDescent="0.25">
      <c r="A202" t="s">
        <v>288</v>
      </c>
      <c r="B202" s="1">
        <v>45718</v>
      </c>
      <c r="C202" t="s">
        <v>55</v>
      </c>
      <c r="D202" t="s">
        <v>84</v>
      </c>
      <c r="E202">
        <v>15</v>
      </c>
      <c r="F202">
        <v>4</v>
      </c>
      <c r="G202">
        <v>60</v>
      </c>
      <c r="H202" t="s">
        <v>60</v>
      </c>
      <c r="I202" t="s">
        <v>24</v>
      </c>
      <c r="J202" t="s">
        <v>35</v>
      </c>
      <c r="K202" t="s">
        <v>45</v>
      </c>
    </row>
    <row r="203" spans="1:11" x14ac:dyDescent="0.25">
      <c r="A203" t="s">
        <v>289</v>
      </c>
      <c r="B203" t="s">
        <v>290</v>
      </c>
      <c r="C203" t="s">
        <v>47</v>
      </c>
      <c r="D203" t="s">
        <v>22</v>
      </c>
      <c r="E203">
        <v>500</v>
      </c>
      <c r="F203">
        <v>2</v>
      </c>
      <c r="G203">
        <v>1000</v>
      </c>
      <c r="H203" t="s">
        <v>62</v>
      </c>
      <c r="I203" t="s">
        <v>49</v>
      </c>
      <c r="J203" t="s">
        <v>35</v>
      </c>
      <c r="K203" t="s">
        <v>18</v>
      </c>
    </row>
    <row r="204" spans="1:11" x14ac:dyDescent="0.25">
      <c r="A204" t="s">
        <v>291</v>
      </c>
      <c r="B204" t="s">
        <v>290</v>
      </c>
      <c r="D204" t="s">
        <v>66</v>
      </c>
      <c r="E204">
        <v>1200</v>
      </c>
      <c r="F204">
        <v>3</v>
      </c>
      <c r="G204">
        <v>3600</v>
      </c>
      <c r="H204" t="s">
        <v>28</v>
      </c>
      <c r="I204" t="s">
        <v>34</v>
      </c>
      <c r="J204" t="s">
        <v>17</v>
      </c>
      <c r="K204" t="s">
        <v>45</v>
      </c>
    </row>
    <row r="205" spans="1:11" x14ac:dyDescent="0.25">
      <c r="A205" t="s">
        <v>292</v>
      </c>
      <c r="B205" s="1">
        <v>45872</v>
      </c>
      <c r="C205" t="s">
        <v>13</v>
      </c>
      <c r="D205" t="s">
        <v>14</v>
      </c>
      <c r="E205">
        <v>60</v>
      </c>
      <c r="F205">
        <v>5</v>
      </c>
      <c r="G205">
        <v>300</v>
      </c>
      <c r="H205" t="s">
        <v>92</v>
      </c>
      <c r="I205" t="s">
        <v>49</v>
      </c>
      <c r="J205" t="s">
        <v>63</v>
      </c>
      <c r="K205" t="s">
        <v>25</v>
      </c>
    </row>
    <row r="206" spans="1:11" x14ac:dyDescent="0.25">
      <c r="A206" t="s">
        <v>293</v>
      </c>
      <c r="B206" t="s">
        <v>200</v>
      </c>
      <c r="C206" t="s">
        <v>21</v>
      </c>
      <c r="D206" t="s">
        <v>22</v>
      </c>
      <c r="E206">
        <v>100</v>
      </c>
      <c r="G206">
        <v>200</v>
      </c>
      <c r="H206" t="s">
        <v>56</v>
      </c>
      <c r="J206" t="s">
        <v>44</v>
      </c>
      <c r="K206" t="s">
        <v>45</v>
      </c>
    </row>
    <row r="207" spans="1:11" x14ac:dyDescent="0.25">
      <c r="A207" t="s">
        <v>294</v>
      </c>
      <c r="B207" s="1">
        <v>45993</v>
      </c>
      <c r="C207" t="s">
        <v>65</v>
      </c>
      <c r="D207" t="s">
        <v>66</v>
      </c>
      <c r="E207">
        <v>600</v>
      </c>
      <c r="F207">
        <v>5</v>
      </c>
      <c r="G207">
        <v>3000</v>
      </c>
      <c r="H207" t="s">
        <v>15</v>
      </c>
      <c r="I207" t="s">
        <v>49</v>
      </c>
      <c r="J207" t="s">
        <v>30</v>
      </c>
      <c r="K207" t="s">
        <v>25</v>
      </c>
    </row>
    <row r="208" spans="1:11" x14ac:dyDescent="0.25">
      <c r="A208" t="s">
        <v>295</v>
      </c>
      <c r="B208" t="s">
        <v>197</v>
      </c>
      <c r="C208" t="s">
        <v>65</v>
      </c>
      <c r="D208" t="s">
        <v>66</v>
      </c>
      <c r="E208">
        <v>600</v>
      </c>
      <c r="F208">
        <v>1</v>
      </c>
      <c r="G208">
        <v>600</v>
      </c>
      <c r="H208" t="s">
        <v>28</v>
      </c>
      <c r="I208" t="s">
        <v>49</v>
      </c>
      <c r="J208" t="s">
        <v>35</v>
      </c>
      <c r="K208" t="s">
        <v>45</v>
      </c>
    </row>
    <row r="209" spans="1:11" x14ac:dyDescent="0.25">
      <c r="A209" t="s">
        <v>296</v>
      </c>
      <c r="B209" s="1">
        <v>45690</v>
      </c>
      <c r="C209" t="s">
        <v>72</v>
      </c>
      <c r="D209" t="s">
        <v>66</v>
      </c>
      <c r="E209">
        <v>1200</v>
      </c>
      <c r="F209">
        <v>3</v>
      </c>
      <c r="G209">
        <v>3600</v>
      </c>
      <c r="H209" t="s">
        <v>28</v>
      </c>
      <c r="I209" t="s">
        <v>49</v>
      </c>
      <c r="J209" t="s">
        <v>44</v>
      </c>
      <c r="K209" t="s">
        <v>45</v>
      </c>
    </row>
    <row r="210" spans="1:11" x14ac:dyDescent="0.25">
      <c r="A210" t="s">
        <v>297</v>
      </c>
      <c r="B210" t="s">
        <v>237</v>
      </c>
      <c r="C210" t="s">
        <v>59</v>
      </c>
      <c r="D210" t="s">
        <v>40</v>
      </c>
      <c r="E210">
        <v>40</v>
      </c>
      <c r="F210">
        <v>5</v>
      </c>
      <c r="G210">
        <v>200</v>
      </c>
      <c r="H210" t="s">
        <v>62</v>
      </c>
      <c r="I210" t="s">
        <v>34</v>
      </c>
      <c r="J210" t="s">
        <v>44</v>
      </c>
      <c r="K210" t="s">
        <v>45</v>
      </c>
    </row>
    <row r="211" spans="1:11" x14ac:dyDescent="0.25">
      <c r="A211" t="s">
        <v>298</v>
      </c>
      <c r="B211" t="s">
        <v>213</v>
      </c>
      <c r="C211" t="s">
        <v>101</v>
      </c>
      <c r="D211" t="s">
        <v>22</v>
      </c>
      <c r="E211">
        <v>800</v>
      </c>
      <c r="F211">
        <v>3</v>
      </c>
      <c r="G211">
        <v>2400</v>
      </c>
      <c r="H211" t="s">
        <v>92</v>
      </c>
      <c r="I211" t="s">
        <v>16</v>
      </c>
      <c r="J211" t="s">
        <v>44</v>
      </c>
      <c r="K211" t="s">
        <v>45</v>
      </c>
    </row>
    <row r="212" spans="1:11" x14ac:dyDescent="0.25">
      <c r="A212" t="s">
        <v>299</v>
      </c>
      <c r="B212" t="s">
        <v>58</v>
      </c>
      <c r="C212" t="s">
        <v>47</v>
      </c>
      <c r="D212" t="s">
        <v>22</v>
      </c>
      <c r="E212">
        <v>500</v>
      </c>
      <c r="F212">
        <v>1</v>
      </c>
      <c r="G212">
        <v>500</v>
      </c>
      <c r="H212" t="s">
        <v>56</v>
      </c>
      <c r="I212" t="s">
        <v>49</v>
      </c>
      <c r="J212" t="s">
        <v>63</v>
      </c>
      <c r="K212" t="s">
        <v>25</v>
      </c>
    </row>
    <row r="213" spans="1:11" x14ac:dyDescent="0.25">
      <c r="A213" t="s">
        <v>300</v>
      </c>
      <c r="B213" s="1">
        <v>45903</v>
      </c>
      <c r="C213" t="s">
        <v>39</v>
      </c>
      <c r="D213" t="s">
        <v>40</v>
      </c>
      <c r="E213">
        <v>20</v>
      </c>
      <c r="F213">
        <v>4</v>
      </c>
      <c r="G213">
        <v>80</v>
      </c>
      <c r="H213" t="s">
        <v>15</v>
      </c>
      <c r="I213" t="s">
        <v>43</v>
      </c>
      <c r="J213" t="s">
        <v>17</v>
      </c>
      <c r="K213" t="s">
        <v>45</v>
      </c>
    </row>
    <row r="214" spans="1:11" x14ac:dyDescent="0.25">
      <c r="A214" t="s">
        <v>301</v>
      </c>
      <c r="B214" s="1">
        <v>45810</v>
      </c>
      <c r="D214" t="s">
        <v>22</v>
      </c>
      <c r="E214">
        <v>800</v>
      </c>
      <c r="F214">
        <v>1</v>
      </c>
      <c r="G214">
        <v>800</v>
      </c>
      <c r="H214" t="s">
        <v>92</v>
      </c>
      <c r="I214" t="s">
        <v>75</v>
      </c>
      <c r="J214" t="s">
        <v>30</v>
      </c>
      <c r="K214" t="s">
        <v>18</v>
      </c>
    </row>
    <row r="215" spans="1:11" x14ac:dyDescent="0.25">
      <c r="A215" t="s">
        <v>302</v>
      </c>
      <c r="B215" t="s">
        <v>120</v>
      </c>
      <c r="C215" t="s">
        <v>37</v>
      </c>
      <c r="D215" t="s">
        <v>22</v>
      </c>
      <c r="E215">
        <v>150</v>
      </c>
      <c r="F215">
        <v>5</v>
      </c>
      <c r="G215">
        <v>750</v>
      </c>
      <c r="H215" t="s">
        <v>23</v>
      </c>
      <c r="I215" t="s">
        <v>43</v>
      </c>
      <c r="J215" t="s">
        <v>17</v>
      </c>
      <c r="K215" t="s">
        <v>45</v>
      </c>
    </row>
    <row r="216" spans="1:11" x14ac:dyDescent="0.25">
      <c r="A216" t="s">
        <v>303</v>
      </c>
      <c r="B216" s="1">
        <v>45841</v>
      </c>
      <c r="C216" t="s">
        <v>13</v>
      </c>
      <c r="D216" t="s">
        <v>14</v>
      </c>
      <c r="E216">
        <v>60</v>
      </c>
      <c r="F216">
        <v>1</v>
      </c>
      <c r="G216">
        <v>60</v>
      </c>
      <c r="H216" t="s">
        <v>15</v>
      </c>
      <c r="I216" t="s">
        <v>43</v>
      </c>
      <c r="J216" t="s">
        <v>44</v>
      </c>
      <c r="K216" t="s">
        <v>45</v>
      </c>
    </row>
    <row r="217" spans="1:11" x14ac:dyDescent="0.25">
      <c r="A217" t="s">
        <v>304</v>
      </c>
      <c r="B217" t="s">
        <v>106</v>
      </c>
      <c r="C217" t="s">
        <v>59</v>
      </c>
      <c r="D217" t="s">
        <v>40</v>
      </c>
      <c r="E217">
        <v>40</v>
      </c>
      <c r="F217">
        <v>2</v>
      </c>
      <c r="G217">
        <v>80</v>
      </c>
      <c r="H217" t="s">
        <v>80</v>
      </c>
      <c r="I217" t="s">
        <v>93</v>
      </c>
      <c r="J217" t="s">
        <v>35</v>
      </c>
      <c r="K217" t="s">
        <v>45</v>
      </c>
    </row>
    <row r="218" spans="1:11" x14ac:dyDescent="0.25">
      <c r="A218" t="s">
        <v>305</v>
      </c>
      <c r="B218" t="s">
        <v>129</v>
      </c>
      <c r="C218" t="s">
        <v>13</v>
      </c>
      <c r="D218" t="s">
        <v>14</v>
      </c>
      <c r="E218">
        <v>60</v>
      </c>
      <c r="F218">
        <v>2</v>
      </c>
      <c r="G218">
        <v>120</v>
      </c>
      <c r="H218" t="s">
        <v>15</v>
      </c>
      <c r="I218" t="s">
        <v>51</v>
      </c>
      <c r="J218" t="s">
        <v>63</v>
      </c>
      <c r="K218" t="s">
        <v>25</v>
      </c>
    </row>
    <row r="219" spans="1:11" x14ac:dyDescent="0.25">
      <c r="A219" t="s">
        <v>306</v>
      </c>
      <c r="B219" t="s">
        <v>27</v>
      </c>
      <c r="C219" t="s">
        <v>21</v>
      </c>
      <c r="D219" t="s">
        <v>22</v>
      </c>
      <c r="E219">
        <v>100</v>
      </c>
      <c r="F219">
        <v>4</v>
      </c>
      <c r="G219">
        <v>400</v>
      </c>
      <c r="H219" t="s">
        <v>62</v>
      </c>
      <c r="I219" t="s">
        <v>16</v>
      </c>
      <c r="J219" t="s">
        <v>63</v>
      </c>
      <c r="K219" t="s">
        <v>18</v>
      </c>
    </row>
    <row r="220" spans="1:11" x14ac:dyDescent="0.25">
      <c r="A220" t="s">
        <v>307</v>
      </c>
      <c r="B220" t="s">
        <v>54</v>
      </c>
      <c r="C220" t="s">
        <v>21</v>
      </c>
      <c r="D220" t="s">
        <v>22</v>
      </c>
      <c r="E220">
        <v>100</v>
      </c>
      <c r="F220">
        <v>3</v>
      </c>
      <c r="G220">
        <v>300</v>
      </c>
      <c r="H220" t="s">
        <v>56</v>
      </c>
      <c r="I220" t="s">
        <v>43</v>
      </c>
      <c r="J220" t="s">
        <v>44</v>
      </c>
      <c r="K220" t="s">
        <v>18</v>
      </c>
    </row>
    <row r="221" spans="1:11" x14ac:dyDescent="0.25">
      <c r="A221" t="s">
        <v>308</v>
      </c>
      <c r="B221" s="1">
        <v>45932</v>
      </c>
      <c r="C221" t="s">
        <v>37</v>
      </c>
      <c r="D221" t="s">
        <v>22</v>
      </c>
      <c r="E221">
        <v>150</v>
      </c>
      <c r="F221">
        <v>3</v>
      </c>
      <c r="G221">
        <v>450</v>
      </c>
      <c r="H221" t="s">
        <v>60</v>
      </c>
      <c r="I221" t="s">
        <v>29</v>
      </c>
      <c r="J221" t="s">
        <v>17</v>
      </c>
      <c r="K221" t="s">
        <v>45</v>
      </c>
    </row>
    <row r="222" spans="1:11" x14ac:dyDescent="0.25">
      <c r="A222" t="s">
        <v>309</v>
      </c>
      <c r="B222" t="s">
        <v>163</v>
      </c>
      <c r="C222" t="s">
        <v>65</v>
      </c>
      <c r="D222" t="s">
        <v>66</v>
      </c>
      <c r="E222">
        <v>600</v>
      </c>
      <c r="F222">
        <v>2</v>
      </c>
      <c r="G222">
        <v>1200</v>
      </c>
      <c r="H222" t="s">
        <v>23</v>
      </c>
      <c r="J222" t="s">
        <v>63</v>
      </c>
      <c r="K222" t="s">
        <v>18</v>
      </c>
    </row>
    <row r="223" spans="1:11" x14ac:dyDescent="0.25">
      <c r="A223" t="s">
        <v>310</v>
      </c>
      <c r="B223" t="s">
        <v>104</v>
      </c>
      <c r="C223" t="s">
        <v>65</v>
      </c>
      <c r="D223" t="s">
        <v>66</v>
      </c>
      <c r="E223">
        <v>600</v>
      </c>
      <c r="F223">
        <v>2</v>
      </c>
      <c r="G223">
        <v>1200</v>
      </c>
      <c r="H223" t="s">
        <v>80</v>
      </c>
      <c r="I223" t="s">
        <v>69</v>
      </c>
      <c r="J223" t="s">
        <v>44</v>
      </c>
      <c r="K223" t="s">
        <v>18</v>
      </c>
    </row>
    <row r="224" spans="1:11" x14ac:dyDescent="0.25">
      <c r="A224" t="s">
        <v>311</v>
      </c>
      <c r="B224" t="s">
        <v>86</v>
      </c>
      <c r="C224" t="s">
        <v>59</v>
      </c>
      <c r="D224" t="s">
        <v>40</v>
      </c>
      <c r="E224">
        <v>40</v>
      </c>
      <c r="G224">
        <v>80</v>
      </c>
      <c r="H224" t="s">
        <v>56</v>
      </c>
      <c r="I224" t="s">
        <v>29</v>
      </c>
      <c r="J224" t="s">
        <v>30</v>
      </c>
      <c r="K224" t="s">
        <v>18</v>
      </c>
    </row>
    <row r="225" spans="1:11" x14ac:dyDescent="0.25">
      <c r="A225" t="s">
        <v>312</v>
      </c>
      <c r="B225" t="s">
        <v>42</v>
      </c>
      <c r="C225" t="s">
        <v>72</v>
      </c>
      <c r="D225" t="s">
        <v>66</v>
      </c>
      <c r="E225">
        <v>1200</v>
      </c>
      <c r="F225">
        <v>1</v>
      </c>
      <c r="G225">
        <v>1200</v>
      </c>
      <c r="H225" t="s">
        <v>92</v>
      </c>
      <c r="I225" t="s">
        <v>49</v>
      </c>
      <c r="J225" t="s">
        <v>44</v>
      </c>
      <c r="K225" t="s">
        <v>45</v>
      </c>
    </row>
    <row r="226" spans="1:11" x14ac:dyDescent="0.25">
      <c r="A226" t="s">
        <v>313</v>
      </c>
      <c r="B226" s="1">
        <v>45964</v>
      </c>
      <c r="D226" t="s">
        <v>40</v>
      </c>
      <c r="E226">
        <v>40</v>
      </c>
      <c r="F226">
        <v>1</v>
      </c>
      <c r="G226">
        <v>40</v>
      </c>
      <c r="H226" t="s">
        <v>48</v>
      </c>
      <c r="I226" t="s">
        <v>16</v>
      </c>
      <c r="J226" t="s">
        <v>63</v>
      </c>
      <c r="K226" t="s">
        <v>18</v>
      </c>
    </row>
    <row r="227" spans="1:11" x14ac:dyDescent="0.25">
      <c r="A227" t="s">
        <v>314</v>
      </c>
      <c r="B227" s="1">
        <v>45780</v>
      </c>
      <c r="C227" t="s">
        <v>13</v>
      </c>
      <c r="D227" t="s">
        <v>14</v>
      </c>
      <c r="E227">
        <v>60</v>
      </c>
      <c r="G227">
        <v>240</v>
      </c>
      <c r="H227" t="s">
        <v>80</v>
      </c>
      <c r="I227" t="s">
        <v>93</v>
      </c>
      <c r="J227" t="s">
        <v>30</v>
      </c>
      <c r="K227" t="s">
        <v>45</v>
      </c>
    </row>
    <row r="228" spans="1:11" x14ac:dyDescent="0.25">
      <c r="A228" t="s">
        <v>315</v>
      </c>
      <c r="B228" s="1">
        <v>45692</v>
      </c>
      <c r="C228" t="s">
        <v>21</v>
      </c>
      <c r="D228" t="s">
        <v>22</v>
      </c>
      <c r="E228">
        <v>100</v>
      </c>
      <c r="F228">
        <v>5</v>
      </c>
      <c r="G228">
        <v>500</v>
      </c>
      <c r="H228" t="s">
        <v>15</v>
      </c>
      <c r="I228" t="s">
        <v>49</v>
      </c>
      <c r="J228" t="s">
        <v>30</v>
      </c>
      <c r="K228" t="s">
        <v>18</v>
      </c>
    </row>
    <row r="229" spans="1:11" x14ac:dyDescent="0.25">
      <c r="A229" t="s">
        <v>316</v>
      </c>
      <c r="B229" s="1">
        <v>45993</v>
      </c>
      <c r="C229" t="s">
        <v>13</v>
      </c>
      <c r="D229" t="s">
        <v>14</v>
      </c>
      <c r="E229">
        <v>60</v>
      </c>
      <c r="F229">
        <v>1</v>
      </c>
      <c r="G229">
        <v>60</v>
      </c>
      <c r="H229" t="s">
        <v>56</v>
      </c>
      <c r="I229" t="s">
        <v>24</v>
      </c>
      <c r="J229" t="s">
        <v>35</v>
      </c>
      <c r="K229" t="s">
        <v>25</v>
      </c>
    </row>
    <row r="230" spans="1:11" x14ac:dyDescent="0.25">
      <c r="A230" t="s">
        <v>317</v>
      </c>
      <c r="B230" t="s">
        <v>197</v>
      </c>
      <c r="C230" t="s">
        <v>13</v>
      </c>
      <c r="D230" t="s">
        <v>14</v>
      </c>
      <c r="E230">
        <v>60</v>
      </c>
      <c r="F230">
        <v>3</v>
      </c>
      <c r="G230">
        <v>180</v>
      </c>
      <c r="H230" t="s">
        <v>15</v>
      </c>
      <c r="I230" t="s">
        <v>24</v>
      </c>
      <c r="J230" t="s">
        <v>35</v>
      </c>
      <c r="K230" t="s">
        <v>25</v>
      </c>
    </row>
    <row r="231" spans="1:11" x14ac:dyDescent="0.25">
      <c r="A231" t="s">
        <v>318</v>
      </c>
      <c r="B231" t="s">
        <v>144</v>
      </c>
      <c r="C231" t="s">
        <v>21</v>
      </c>
      <c r="D231" t="s">
        <v>22</v>
      </c>
      <c r="E231">
        <v>100</v>
      </c>
      <c r="F231">
        <v>4</v>
      </c>
      <c r="G231">
        <v>400</v>
      </c>
      <c r="H231" t="s">
        <v>92</v>
      </c>
      <c r="I231" t="s">
        <v>24</v>
      </c>
      <c r="J231" t="s">
        <v>30</v>
      </c>
      <c r="K231" t="s">
        <v>25</v>
      </c>
    </row>
    <row r="232" spans="1:11" x14ac:dyDescent="0.25">
      <c r="A232" t="s">
        <v>319</v>
      </c>
      <c r="B232" t="s">
        <v>104</v>
      </c>
      <c r="C232" t="s">
        <v>101</v>
      </c>
      <c r="D232" t="s">
        <v>22</v>
      </c>
      <c r="E232">
        <v>800</v>
      </c>
      <c r="F232">
        <v>5</v>
      </c>
      <c r="G232">
        <v>4000</v>
      </c>
      <c r="H232" t="s">
        <v>92</v>
      </c>
      <c r="I232" t="s">
        <v>51</v>
      </c>
      <c r="J232" t="s">
        <v>35</v>
      </c>
      <c r="K232" t="s">
        <v>18</v>
      </c>
    </row>
    <row r="233" spans="1:11" x14ac:dyDescent="0.25">
      <c r="A233" t="s">
        <v>320</v>
      </c>
      <c r="B233" t="s">
        <v>12</v>
      </c>
      <c r="C233" t="s">
        <v>72</v>
      </c>
      <c r="D233" t="s">
        <v>66</v>
      </c>
      <c r="E233">
        <v>1200</v>
      </c>
      <c r="F233">
        <v>3</v>
      </c>
      <c r="G233">
        <v>3600</v>
      </c>
      <c r="H233" t="s">
        <v>15</v>
      </c>
      <c r="I233" t="s">
        <v>75</v>
      </c>
      <c r="J233" t="s">
        <v>35</v>
      </c>
      <c r="K233" t="s">
        <v>45</v>
      </c>
    </row>
    <row r="234" spans="1:11" x14ac:dyDescent="0.25">
      <c r="A234" t="s">
        <v>321</v>
      </c>
      <c r="B234" t="s">
        <v>68</v>
      </c>
      <c r="C234" t="s">
        <v>13</v>
      </c>
      <c r="D234" t="s">
        <v>14</v>
      </c>
      <c r="E234">
        <v>60</v>
      </c>
      <c r="F234">
        <v>1</v>
      </c>
      <c r="G234">
        <v>60</v>
      </c>
      <c r="H234" t="s">
        <v>56</v>
      </c>
      <c r="I234" t="s">
        <v>51</v>
      </c>
      <c r="J234" t="s">
        <v>44</v>
      </c>
      <c r="K234" t="s">
        <v>18</v>
      </c>
    </row>
    <row r="235" spans="1:11" x14ac:dyDescent="0.25">
      <c r="A235" t="s">
        <v>322</v>
      </c>
      <c r="B235" s="1">
        <v>45872</v>
      </c>
      <c r="C235" t="s">
        <v>55</v>
      </c>
      <c r="D235" t="s">
        <v>84</v>
      </c>
      <c r="E235">
        <v>15</v>
      </c>
      <c r="F235">
        <v>1</v>
      </c>
      <c r="G235">
        <v>15</v>
      </c>
      <c r="H235" t="s">
        <v>92</v>
      </c>
      <c r="I235" t="s">
        <v>49</v>
      </c>
      <c r="J235" t="s">
        <v>30</v>
      </c>
      <c r="K235" t="s">
        <v>18</v>
      </c>
    </row>
    <row r="236" spans="1:11" x14ac:dyDescent="0.25">
      <c r="A236" t="s">
        <v>323</v>
      </c>
      <c r="B236" t="s">
        <v>213</v>
      </c>
      <c r="C236" t="s">
        <v>72</v>
      </c>
      <c r="D236" t="s">
        <v>66</v>
      </c>
      <c r="E236">
        <v>1200</v>
      </c>
      <c r="F236">
        <v>1</v>
      </c>
      <c r="G236">
        <v>1200</v>
      </c>
      <c r="H236" t="s">
        <v>62</v>
      </c>
      <c r="I236" t="s">
        <v>34</v>
      </c>
      <c r="J236" t="s">
        <v>44</v>
      </c>
      <c r="K236" t="s">
        <v>45</v>
      </c>
    </row>
    <row r="237" spans="1:11" x14ac:dyDescent="0.25">
      <c r="A237" t="s">
        <v>324</v>
      </c>
      <c r="B237" s="1">
        <v>45780</v>
      </c>
      <c r="C237" t="s">
        <v>47</v>
      </c>
      <c r="D237" t="s">
        <v>22</v>
      </c>
      <c r="E237">
        <v>500</v>
      </c>
      <c r="F237">
        <v>5</v>
      </c>
      <c r="G237">
        <v>2500</v>
      </c>
      <c r="H237" t="s">
        <v>28</v>
      </c>
      <c r="I237" t="s">
        <v>51</v>
      </c>
      <c r="J237" t="s">
        <v>44</v>
      </c>
      <c r="K237" t="s">
        <v>45</v>
      </c>
    </row>
    <row r="238" spans="1:11" x14ac:dyDescent="0.25">
      <c r="A238" t="s">
        <v>325</v>
      </c>
      <c r="B238" s="1">
        <v>45963</v>
      </c>
      <c r="C238" t="s">
        <v>21</v>
      </c>
      <c r="D238" t="s">
        <v>22</v>
      </c>
      <c r="E238">
        <v>100</v>
      </c>
      <c r="F238">
        <v>3</v>
      </c>
      <c r="G238">
        <v>300</v>
      </c>
      <c r="H238" t="s">
        <v>60</v>
      </c>
      <c r="I238" t="s">
        <v>43</v>
      </c>
      <c r="J238" t="s">
        <v>17</v>
      </c>
      <c r="K238" t="s">
        <v>18</v>
      </c>
    </row>
    <row r="239" spans="1:11" x14ac:dyDescent="0.25">
      <c r="A239" t="s">
        <v>326</v>
      </c>
      <c r="B239" t="s">
        <v>141</v>
      </c>
      <c r="C239" t="s">
        <v>21</v>
      </c>
      <c r="D239" t="s">
        <v>22</v>
      </c>
      <c r="E239">
        <v>100</v>
      </c>
      <c r="G239">
        <v>100</v>
      </c>
      <c r="H239" t="s">
        <v>33</v>
      </c>
      <c r="I239" t="s">
        <v>29</v>
      </c>
      <c r="J239" t="s">
        <v>44</v>
      </c>
      <c r="K239" t="s">
        <v>45</v>
      </c>
    </row>
    <row r="240" spans="1:11" x14ac:dyDescent="0.25">
      <c r="A240" t="s">
        <v>327</v>
      </c>
      <c r="B240" t="s">
        <v>77</v>
      </c>
      <c r="C240" t="s">
        <v>37</v>
      </c>
      <c r="D240" t="s">
        <v>22</v>
      </c>
      <c r="E240">
        <v>150</v>
      </c>
      <c r="F240">
        <v>5</v>
      </c>
      <c r="G240">
        <v>750</v>
      </c>
      <c r="H240" t="s">
        <v>62</v>
      </c>
      <c r="J240" t="s">
        <v>30</v>
      </c>
      <c r="K240" t="s">
        <v>45</v>
      </c>
    </row>
    <row r="241" spans="1:11" x14ac:dyDescent="0.25">
      <c r="A241" t="s">
        <v>328</v>
      </c>
      <c r="B241" s="1">
        <v>45902</v>
      </c>
      <c r="D241" t="s">
        <v>22</v>
      </c>
      <c r="E241">
        <v>150</v>
      </c>
      <c r="F241">
        <v>1</v>
      </c>
      <c r="G241">
        <v>150</v>
      </c>
      <c r="H241" t="s">
        <v>28</v>
      </c>
      <c r="I241" t="s">
        <v>29</v>
      </c>
      <c r="J241" t="s">
        <v>63</v>
      </c>
      <c r="K241" t="s">
        <v>25</v>
      </c>
    </row>
    <row r="242" spans="1:11" x14ac:dyDescent="0.25">
      <c r="A242" t="s">
        <v>329</v>
      </c>
      <c r="B242" t="s">
        <v>137</v>
      </c>
      <c r="C242" t="s">
        <v>47</v>
      </c>
      <c r="D242" t="s">
        <v>22</v>
      </c>
      <c r="E242">
        <v>500</v>
      </c>
      <c r="F242">
        <v>4</v>
      </c>
      <c r="G242">
        <v>2000</v>
      </c>
      <c r="H242" t="s">
        <v>33</v>
      </c>
      <c r="I242" t="s">
        <v>16</v>
      </c>
      <c r="J242" t="s">
        <v>35</v>
      </c>
      <c r="K242" t="s">
        <v>25</v>
      </c>
    </row>
    <row r="243" spans="1:11" x14ac:dyDescent="0.25">
      <c r="A243" t="s">
        <v>330</v>
      </c>
      <c r="B243" s="1">
        <v>45872</v>
      </c>
      <c r="C243" t="s">
        <v>47</v>
      </c>
      <c r="D243" t="s">
        <v>22</v>
      </c>
      <c r="E243">
        <v>500</v>
      </c>
      <c r="F243">
        <v>4</v>
      </c>
      <c r="G243">
        <v>2000</v>
      </c>
      <c r="H243" t="s">
        <v>80</v>
      </c>
      <c r="I243" t="s">
        <v>51</v>
      </c>
      <c r="J243" t="s">
        <v>63</v>
      </c>
      <c r="K243" t="s">
        <v>25</v>
      </c>
    </row>
    <row r="244" spans="1:11" x14ac:dyDescent="0.25">
      <c r="A244" t="s">
        <v>331</v>
      </c>
      <c r="B244" s="1">
        <v>45780</v>
      </c>
      <c r="C244" t="s">
        <v>13</v>
      </c>
      <c r="D244" t="s">
        <v>14</v>
      </c>
      <c r="E244">
        <v>60</v>
      </c>
      <c r="F244">
        <v>2</v>
      </c>
      <c r="G244">
        <v>120</v>
      </c>
      <c r="H244" t="s">
        <v>80</v>
      </c>
      <c r="I244" t="s">
        <v>43</v>
      </c>
      <c r="J244" t="s">
        <v>30</v>
      </c>
      <c r="K244" t="s">
        <v>45</v>
      </c>
    </row>
    <row r="245" spans="1:11" x14ac:dyDescent="0.25">
      <c r="A245" t="s">
        <v>332</v>
      </c>
      <c r="B245" s="1">
        <v>45810</v>
      </c>
      <c r="C245" t="s">
        <v>47</v>
      </c>
      <c r="D245" t="s">
        <v>22</v>
      </c>
      <c r="E245">
        <v>500</v>
      </c>
      <c r="F245">
        <v>4</v>
      </c>
      <c r="G245">
        <v>2000</v>
      </c>
      <c r="H245" t="s">
        <v>15</v>
      </c>
      <c r="I245" t="s">
        <v>43</v>
      </c>
      <c r="J245" t="s">
        <v>35</v>
      </c>
      <c r="K245" t="s">
        <v>45</v>
      </c>
    </row>
    <row r="246" spans="1:11" x14ac:dyDescent="0.25">
      <c r="A246" t="s">
        <v>333</v>
      </c>
      <c r="B246" s="1">
        <v>45749</v>
      </c>
      <c r="C246" t="s">
        <v>101</v>
      </c>
      <c r="D246" t="s">
        <v>22</v>
      </c>
      <c r="E246">
        <v>800</v>
      </c>
      <c r="F246">
        <v>1</v>
      </c>
      <c r="G246">
        <v>800</v>
      </c>
      <c r="H246" t="s">
        <v>60</v>
      </c>
      <c r="I246" t="s">
        <v>75</v>
      </c>
      <c r="J246" t="s">
        <v>35</v>
      </c>
      <c r="K246" t="s">
        <v>18</v>
      </c>
    </row>
    <row r="247" spans="1:11" x14ac:dyDescent="0.25">
      <c r="A247" t="s">
        <v>334</v>
      </c>
      <c r="B247" t="s">
        <v>111</v>
      </c>
      <c r="C247" t="s">
        <v>39</v>
      </c>
      <c r="D247" t="s">
        <v>40</v>
      </c>
      <c r="E247">
        <v>20</v>
      </c>
      <c r="F247">
        <v>2</v>
      </c>
      <c r="G247">
        <v>40</v>
      </c>
      <c r="H247" t="s">
        <v>62</v>
      </c>
      <c r="I247" t="s">
        <v>49</v>
      </c>
      <c r="J247" t="s">
        <v>17</v>
      </c>
      <c r="K247" t="s">
        <v>18</v>
      </c>
    </row>
    <row r="248" spans="1:11" x14ac:dyDescent="0.25">
      <c r="A248" t="s">
        <v>335</v>
      </c>
      <c r="B248" t="s">
        <v>137</v>
      </c>
      <c r="C248" t="s">
        <v>59</v>
      </c>
      <c r="D248" t="s">
        <v>40</v>
      </c>
      <c r="E248">
        <v>40</v>
      </c>
      <c r="F248">
        <v>1</v>
      </c>
      <c r="G248">
        <v>40</v>
      </c>
      <c r="H248" t="s">
        <v>48</v>
      </c>
      <c r="I248" t="s">
        <v>34</v>
      </c>
      <c r="J248" t="s">
        <v>17</v>
      </c>
      <c r="K248" t="s">
        <v>18</v>
      </c>
    </row>
    <row r="249" spans="1:11" x14ac:dyDescent="0.25">
      <c r="A249" t="s">
        <v>336</v>
      </c>
      <c r="B249" s="1">
        <v>45780</v>
      </c>
      <c r="C249" t="s">
        <v>39</v>
      </c>
      <c r="D249" t="s">
        <v>40</v>
      </c>
      <c r="E249">
        <v>20</v>
      </c>
      <c r="F249">
        <v>2</v>
      </c>
      <c r="G249">
        <v>40</v>
      </c>
      <c r="H249" t="s">
        <v>80</v>
      </c>
      <c r="I249" t="s">
        <v>29</v>
      </c>
      <c r="J249" t="s">
        <v>17</v>
      </c>
      <c r="K249" t="s">
        <v>18</v>
      </c>
    </row>
    <row r="250" spans="1:11" x14ac:dyDescent="0.25">
      <c r="A250" t="s">
        <v>337</v>
      </c>
      <c r="B250" s="1">
        <v>45872</v>
      </c>
      <c r="C250" t="s">
        <v>37</v>
      </c>
      <c r="D250" t="s">
        <v>22</v>
      </c>
      <c r="E250">
        <v>150</v>
      </c>
      <c r="F250">
        <v>3</v>
      </c>
      <c r="G250">
        <v>450</v>
      </c>
      <c r="H250" t="s">
        <v>23</v>
      </c>
      <c r="I250" t="s">
        <v>16</v>
      </c>
      <c r="J250" t="s">
        <v>17</v>
      </c>
      <c r="K250" t="s">
        <v>18</v>
      </c>
    </row>
    <row r="251" spans="1:11" x14ac:dyDescent="0.25">
      <c r="A251" t="s">
        <v>338</v>
      </c>
      <c r="B251" t="s">
        <v>32</v>
      </c>
      <c r="D251" t="s">
        <v>22</v>
      </c>
      <c r="E251">
        <v>500</v>
      </c>
      <c r="F251">
        <v>4</v>
      </c>
      <c r="G251">
        <v>2000</v>
      </c>
      <c r="H251" t="s">
        <v>23</v>
      </c>
      <c r="I251" t="s">
        <v>69</v>
      </c>
      <c r="J251" t="s">
        <v>30</v>
      </c>
      <c r="K251" t="s">
        <v>45</v>
      </c>
    </row>
    <row r="252" spans="1:11" x14ac:dyDescent="0.25">
      <c r="A252" t="s">
        <v>330</v>
      </c>
      <c r="B252" s="1">
        <v>45872</v>
      </c>
      <c r="C252" t="s">
        <v>47</v>
      </c>
      <c r="D252" t="s">
        <v>22</v>
      </c>
      <c r="E252">
        <v>500</v>
      </c>
      <c r="F252">
        <v>4</v>
      </c>
      <c r="G252">
        <v>2000</v>
      </c>
      <c r="H252" t="s">
        <v>80</v>
      </c>
      <c r="I252" t="s">
        <v>51</v>
      </c>
      <c r="J252" t="s">
        <v>63</v>
      </c>
      <c r="K252" t="s">
        <v>25</v>
      </c>
    </row>
    <row r="253" spans="1:11" x14ac:dyDescent="0.25">
      <c r="A253" t="s">
        <v>330</v>
      </c>
      <c r="B253" s="1">
        <v>45872</v>
      </c>
      <c r="C253" t="s">
        <v>47</v>
      </c>
      <c r="D253" t="s">
        <v>22</v>
      </c>
      <c r="E253">
        <v>500</v>
      </c>
      <c r="F253">
        <v>4</v>
      </c>
      <c r="G253">
        <v>2000</v>
      </c>
      <c r="H253" t="s">
        <v>80</v>
      </c>
      <c r="I253" t="s">
        <v>51</v>
      </c>
      <c r="J253" t="s">
        <v>63</v>
      </c>
      <c r="K253" t="s">
        <v>25</v>
      </c>
    </row>
    <row r="254" spans="1:11" x14ac:dyDescent="0.25">
      <c r="A254" t="s">
        <v>330</v>
      </c>
      <c r="B254" s="1">
        <v>45872</v>
      </c>
      <c r="C254" t="s">
        <v>47</v>
      </c>
      <c r="D254" t="s">
        <v>22</v>
      </c>
      <c r="E254">
        <v>500</v>
      </c>
      <c r="F254">
        <v>4</v>
      </c>
      <c r="G254">
        <v>2000</v>
      </c>
      <c r="H254" t="s">
        <v>80</v>
      </c>
      <c r="I254" t="s">
        <v>51</v>
      </c>
      <c r="J254" t="s">
        <v>63</v>
      </c>
      <c r="K254" t="s">
        <v>25</v>
      </c>
    </row>
    <row r="255" spans="1:11" x14ac:dyDescent="0.25">
      <c r="A255" t="s">
        <v>330</v>
      </c>
      <c r="B255" s="1">
        <v>45872</v>
      </c>
      <c r="C255" t="s">
        <v>47</v>
      </c>
      <c r="D255" t="s">
        <v>22</v>
      </c>
      <c r="E255">
        <v>500</v>
      </c>
      <c r="F255">
        <v>4</v>
      </c>
      <c r="G255">
        <v>2000</v>
      </c>
      <c r="H255" t="s">
        <v>80</v>
      </c>
      <c r="I255" t="s">
        <v>51</v>
      </c>
      <c r="J255" t="s">
        <v>63</v>
      </c>
      <c r="K255" t="s">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19"/>
  <sheetViews>
    <sheetView zoomScale="85" zoomScaleNormal="85" workbookViewId="0"/>
  </sheetViews>
  <sheetFormatPr defaultRowHeight="15" x14ac:dyDescent="0.25"/>
  <cols>
    <col min="1" max="1" width="10.5703125" customWidth="1"/>
    <col min="2" max="2" width="21.85546875" style="1" customWidth="1"/>
    <col min="3" max="3" width="10" customWidth="1"/>
    <col min="4" max="4" width="11" customWidth="1"/>
    <col min="6" max="6" width="10.85546875" customWidth="1"/>
    <col min="7" max="7" width="12.5703125" customWidth="1"/>
    <col min="8" max="8" width="27.7109375" customWidth="1"/>
    <col min="9" max="9" width="19.5703125" customWidth="1"/>
    <col min="10" max="10" width="23" customWidth="1"/>
    <col min="11" max="16" width="14.7109375" customWidth="1"/>
    <col min="18" max="18" width="18" customWidth="1"/>
    <col min="19" max="19" width="11" customWidth="1"/>
    <col min="21" max="21" width="12.42578125" customWidth="1"/>
    <col min="22" max="22" width="15.28515625" customWidth="1"/>
    <col min="24" max="24" width="14.42578125" customWidth="1"/>
    <col min="25" max="25" width="11" customWidth="1"/>
  </cols>
  <sheetData>
    <row r="1" spans="1:25" x14ac:dyDescent="0.25">
      <c r="A1" t="s">
        <v>0</v>
      </c>
      <c r="B1" s="1" t="s">
        <v>1</v>
      </c>
      <c r="C1" t="s">
        <v>2</v>
      </c>
      <c r="D1" t="s">
        <v>3</v>
      </c>
      <c r="E1" t="s">
        <v>4</v>
      </c>
      <c r="F1" t="s">
        <v>5</v>
      </c>
      <c r="G1" t="s">
        <v>6</v>
      </c>
      <c r="H1" t="s">
        <v>7</v>
      </c>
      <c r="I1" t="s">
        <v>8</v>
      </c>
      <c r="J1" t="s">
        <v>9</v>
      </c>
      <c r="K1" t="s">
        <v>10</v>
      </c>
      <c r="L1" t="s">
        <v>348</v>
      </c>
      <c r="M1" t="s">
        <v>349</v>
      </c>
      <c r="N1" t="s">
        <v>350</v>
      </c>
      <c r="O1" t="s">
        <v>351</v>
      </c>
      <c r="P1" t="s">
        <v>352</v>
      </c>
      <c r="R1" t="s">
        <v>339</v>
      </c>
      <c r="S1" t="s">
        <v>340</v>
      </c>
      <c r="T1" t="s">
        <v>341</v>
      </c>
      <c r="U1" t="s">
        <v>342</v>
      </c>
      <c r="V1" t="s">
        <v>343</v>
      </c>
    </row>
    <row r="2" spans="1:25" x14ac:dyDescent="0.25">
      <c r="A2" t="str">
        <f>IF(Raw_data!A2="",NA(),Raw_data!A2)</f>
        <v>ORD0001</v>
      </c>
      <c r="B2" s="1" t="str">
        <f>IF(Raw_data!B2="",NA(),Raw_data!B2)</f>
        <v>14-03-25</v>
      </c>
      <c r="C2" t="str">
        <f>IF(Raw_data!C2="",NA(),Raw_data!C2)</f>
        <v>Running Shoes</v>
      </c>
      <c r="D2" t="str">
        <f>IF(Raw_data!D2="",NA(),Raw_data!D2)</f>
        <v>Footwear</v>
      </c>
      <c r="E2">
        <f>IF(Raw_data!E2="",NA(),Raw_data!E2)</f>
        <v>60</v>
      </c>
      <c r="F2">
        <f>IF(Raw_data!F2="",NA(),Raw_data!F2)</f>
        <v>3</v>
      </c>
      <c r="G2">
        <f>IF(Raw_data!G2="",NA(),Raw_data!G2)</f>
        <v>180</v>
      </c>
      <c r="H2" t="str">
        <f>IF(Raw_data!H2="",NA(),Raw_data!H2)</f>
        <v>Emma Clark</v>
      </c>
      <c r="I2" t="str">
        <f>IF(Raw_data!I2="",NA(),Raw_data!I2)</f>
        <v>New York</v>
      </c>
      <c r="J2" t="str">
        <f>IF(Raw_data!J2="",NA(),Raw_data!J2)</f>
        <v>Debit Card</v>
      </c>
      <c r="K2" t="str">
        <f>IF(Raw_data!K2="",NA(),Raw_data!K2)</f>
        <v>Cancelled</v>
      </c>
      <c r="L2">
        <f t="shared" ref="L2:L65" si="0">COUNTIFS(A:A,A2,B:B,B2,C:C,C2,D:D,D2,E:E,E2,F:F,F2,G:G,G2,H:H,H2,I:I,I2,J:J,J2,K:K,K2)</f>
        <v>1</v>
      </c>
      <c r="M2" t="str">
        <f>TEXT(B2,"dd-mm-yy")</f>
        <v>14-03-25</v>
      </c>
      <c r="N2" t="str">
        <f>LEFT(Table2[[#This Row],[Date_text]],2)</f>
        <v>14</v>
      </c>
      <c r="O2" s="32" t="str">
        <f>MID(Table2[[#This Row],[Date_text]],4,2)</f>
        <v>03</v>
      </c>
      <c r="P2" t="str">
        <f>RIGHT(Table2[[#This Row],[Date_text]],2)</f>
        <v>25</v>
      </c>
      <c r="R2" t="s">
        <v>0</v>
      </c>
      <c r="S2" cm="1">
        <f t="array" ref="S2">SUM(IF(Raw_data!A2:A255="",1,0))</f>
        <v>0</v>
      </c>
    </row>
    <row r="3" spans="1:25" x14ac:dyDescent="0.25">
      <c r="A3" t="str">
        <f>IF(Raw_data!A3="",NA(),Raw_data!A3)</f>
        <v>ORD0002</v>
      </c>
      <c r="B3" s="1" t="str">
        <f>IF(Raw_data!B3="",NA(),Raw_data!B3)</f>
        <v>20-03-25</v>
      </c>
      <c r="C3" t="str">
        <f>IF(Raw_data!C3="",NA(),Raw_data!C3)</f>
        <v>Headphones</v>
      </c>
      <c r="D3" t="str">
        <f>IF(Raw_data!D3="",NA(),Raw_data!D3)</f>
        <v>Electronics</v>
      </c>
      <c r="E3">
        <f>IF(Raw_data!E3="",NA(),Raw_data!E3)</f>
        <v>100</v>
      </c>
      <c r="F3">
        <f>IF(Raw_data!F3="",NA(),Raw_data!F3)</f>
        <v>4</v>
      </c>
      <c r="G3">
        <f>IF(Raw_data!G3="",NA(),Raw_data!G3)</f>
        <v>400</v>
      </c>
      <c r="H3" t="str">
        <f>IF(Raw_data!H3="",NA(),Raw_data!H3)</f>
        <v>Emily Johnson</v>
      </c>
      <c r="I3" t="str">
        <f>IF(Raw_data!I3="",NA(),Raw_data!I3)</f>
        <v>San Francisco</v>
      </c>
      <c r="J3" t="str">
        <f>IF(Raw_data!J3="",NA(),Raw_data!J3)</f>
        <v>Debit Card</v>
      </c>
      <c r="K3" t="str">
        <f>IF(Raw_data!K3="",NA(),Raw_data!K3)</f>
        <v>Pending</v>
      </c>
      <c r="L3">
        <f t="shared" si="0"/>
        <v>1</v>
      </c>
      <c r="M3" t="str">
        <f t="shared" ref="M3:M65" si="1">TEXT(B3,"dd-mm-yy")</f>
        <v>20-03-25</v>
      </c>
      <c r="N3" t="str">
        <f>LEFT(Table2[[#This Row],[Date_text]],2)</f>
        <v>20</v>
      </c>
      <c r="O3" s="32" t="str">
        <f>MID(Table2[[#This Row],[Date_text]],4,2)</f>
        <v>03</v>
      </c>
      <c r="P3" t="str">
        <f>RIGHT(Table2[[#This Row],[Date_text]],2)</f>
        <v>25</v>
      </c>
      <c r="R3" t="s">
        <v>1</v>
      </c>
      <c r="S3" cm="1">
        <f t="array" ref="S3">SUM(IF(Raw_data!B2:B255="",1,0))</f>
        <v>0</v>
      </c>
    </row>
    <row r="4" spans="1:25" x14ac:dyDescent="0.25">
      <c r="A4" t="str">
        <f>IF(Raw_data!A4="",NA(),Raw_data!A4)</f>
        <v>ORD0003</v>
      </c>
      <c r="B4" s="1" t="str">
        <f>IF(Raw_data!B4="",NA(),Raw_data!B4)</f>
        <v>15-02-25</v>
      </c>
      <c r="C4" t="str">
        <f>IF(Raw_data!C4="",NA(),Raw_data!C4)</f>
        <v>Running Shoes</v>
      </c>
      <c r="D4" t="str">
        <f>IF(Raw_data!D4="",NA(),Raw_data!D4)</f>
        <v>Footwear</v>
      </c>
      <c r="E4">
        <f>IF(Raw_data!E4="",NA(),Raw_data!E4)</f>
        <v>60</v>
      </c>
      <c r="F4">
        <f>IF(Raw_data!F4="",NA(),Raw_data!F4)</f>
        <v>2</v>
      </c>
      <c r="G4">
        <f>IF(Raw_data!G4="",NA(),Raw_data!G4)</f>
        <v>120</v>
      </c>
      <c r="H4" t="str">
        <f>IF(Raw_data!H4="",NA(),Raw_data!H4)</f>
        <v>John Doe</v>
      </c>
      <c r="I4" t="str">
        <f>IF(Raw_data!I4="",NA(),Raw_data!I4)</f>
        <v>Denver</v>
      </c>
      <c r="J4" t="str">
        <f>IF(Raw_data!J4="",NA(),Raw_data!J4)</f>
        <v>Amazon Pay</v>
      </c>
      <c r="K4" t="str">
        <f>IF(Raw_data!K4="",NA(),Raw_data!K4)</f>
        <v>Cancelled</v>
      </c>
      <c r="L4">
        <f t="shared" si="0"/>
        <v>1</v>
      </c>
      <c r="M4" t="str">
        <f t="shared" si="1"/>
        <v>15-02-25</v>
      </c>
      <c r="N4" t="str">
        <f>LEFT(Table2[[#This Row],[Date_text]],2)</f>
        <v>15</v>
      </c>
      <c r="O4" s="32" t="str">
        <f>MID(Table2[[#This Row],[Date_text]],4,2)</f>
        <v>02</v>
      </c>
      <c r="P4" t="str">
        <f>RIGHT(Table2[[#This Row],[Date_text]],2)</f>
        <v>25</v>
      </c>
      <c r="R4" t="s">
        <v>2</v>
      </c>
      <c r="S4" cm="1">
        <f t="array" ref="S4">SUM(IF(Raw_data!C2:C255="",1,0))</f>
        <v>21</v>
      </c>
      <c r="V4" t="s">
        <v>37</v>
      </c>
    </row>
    <row r="5" spans="1:25" x14ac:dyDescent="0.25">
      <c r="A5" t="str">
        <f>IF(Raw_data!A5="",NA(),Raw_data!A5)</f>
        <v>ORD0004</v>
      </c>
      <c r="B5" s="1" t="str">
        <f>IF(Raw_data!B5="",NA(),Raw_data!B5)</f>
        <v>19-02-25</v>
      </c>
      <c r="C5" t="str">
        <f>IF(Raw_data!C5="",NA(),Raw_data!C5)</f>
        <v>Running Shoes</v>
      </c>
      <c r="D5" t="str">
        <f>IF(Raw_data!D5="",NA(),Raw_data!D5)</f>
        <v>Footwear</v>
      </c>
      <c r="E5">
        <f>IF(Raw_data!E5="",NA(),Raw_data!E5)</f>
        <v>60</v>
      </c>
      <c r="F5">
        <f>IF(Raw_data!F5="",NA(),Raw_data!F5)</f>
        <v>3</v>
      </c>
      <c r="G5">
        <f>IF(Raw_data!G5="",NA(),Raw_data!G5)</f>
        <v>180</v>
      </c>
      <c r="H5" t="str">
        <f>IF(Raw_data!H5="",NA(),Raw_data!H5)</f>
        <v>Olivia Wilson</v>
      </c>
      <c r="I5" t="str">
        <f>IF(Raw_data!I5="",NA(),Raw_data!I5)</f>
        <v>Dallas</v>
      </c>
      <c r="J5" t="str">
        <f>IF(Raw_data!J5="",NA(),Raw_data!J5)</f>
        <v>Credit Card</v>
      </c>
      <c r="K5" t="str">
        <f>IF(Raw_data!K5="",NA(),Raw_data!K5)</f>
        <v>Pending</v>
      </c>
      <c r="L5">
        <f t="shared" si="0"/>
        <v>1</v>
      </c>
      <c r="M5" t="str">
        <f t="shared" si="1"/>
        <v>19-02-25</v>
      </c>
      <c r="N5" t="str">
        <f>LEFT(Table2[[#This Row],[Date_text]],2)</f>
        <v>19</v>
      </c>
      <c r="O5" s="32" t="str">
        <f>MID(Table2[[#This Row],[Date_text]],4,2)</f>
        <v>02</v>
      </c>
      <c r="P5" t="str">
        <f>RIGHT(Table2[[#This Row],[Date_text]],2)</f>
        <v>25</v>
      </c>
      <c r="R5" t="s">
        <v>3</v>
      </c>
      <c r="S5" cm="1">
        <f t="array" ref="S5">SUM(IF(Raw_data!D2:D255="",1,0))</f>
        <v>14</v>
      </c>
      <c r="V5" t="s">
        <v>22</v>
      </c>
    </row>
    <row r="6" spans="1:25" x14ac:dyDescent="0.25">
      <c r="A6" t="str">
        <f>IF(Raw_data!A6="",NA(),Raw_data!A6)</f>
        <v>ORD0005</v>
      </c>
      <c r="B6" s="1">
        <f>IF(Raw_data!B6="",NA(),Raw_data!B6)</f>
        <v>45933</v>
      </c>
      <c r="C6" t="str">
        <f>IF(Raw_data!C6="",NA(),Raw_data!C6)</f>
        <v>Smartwatch</v>
      </c>
      <c r="D6" t="str">
        <f>IF(Raw_data!D6="",NA(),Raw_data!D6)</f>
        <v>Electronics</v>
      </c>
      <c r="E6">
        <f>IF(Raw_data!E6="",NA(),Raw_data!E6)</f>
        <v>150</v>
      </c>
      <c r="F6">
        <f>IF(Raw_data!F6="",NA(),Raw_data!F6)</f>
        <v>3</v>
      </c>
      <c r="G6">
        <f>IF(Raw_data!G6="",NA(),Raw_data!G6)</f>
        <v>450</v>
      </c>
      <c r="H6" t="str">
        <f>IF(Raw_data!H6="",NA(),Raw_data!H6)</f>
        <v>Emma Clark</v>
      </c>
      <c r="I6" t="str">
        <f>IF(Raw_data!I6="",NA(),Raw_data!I6)</f>
        <v>New York</v>
      </c>
      <c r="J6" t="str">
        <f>IF(Raw_data!J6="",NA(),Raw_data!J6)</f>
        <v>Debit Card</v>
      </c>
      <c r="K6" t="str">
        <f>IF(Raw_data!K6="",NA(),Raw_data!K6)</f>
        <v>Pending</v>
      </c>
      <c r="L6">
        <f t="shared" si="0"/>
        <v>1</v>
      </c>
      <c r="M6" t="str">
        <f t="shared" si="1"/>
        <v>03-10-25</v>
      </c>
      <c r="N6" t="str">
        <f>LEFT(Table2[[#This Row],[Date_text]],2)</f>
        <v>03</v>
      </c>
      <c r="O6" s="32" t="str">
        <f>MID(Table2[[#This Row],[Date_text]],4,2)</f>
        <v>10</v>
      </c>
      <c r="P6" t="str">
        <f>RIGHT(Table2[[#This Row],[Date_text]],2)</f>
        <v>25</v>
      </c>
      <c r="R6" t="s">
        <v>4</v>
      </c>
      <c r="S6" cm="1">
        <f t="array" ref="S6">SUM(IF(Raw_data!E2:E255="",1,0))</f>
        <v>17</v>
      </c>
      <c r="T6">
        <f>_xlfn.AGGREGATE(1,6,Raw_data!E1:E255)</f>
        <v>334.70464135021098</v>
      </c>
      <c r="U6">
        <f>_xlfn.AGGREGATE(12,6,Raw_data!E1:E255)</f>
        <v>150</v>
      </c>
    </row>
    <row r="7" spans="1:25" x14ac:dyDescent="0.25">
      <c r="A7" t="str">
        <f>IF(Raw_data!A7="",NA(),Raw_data!A7)</f>
        <v>ORD0006</v>
      </c>
      <c r="B7" s="1" t="str">
        <f>IF(Raw_data!B7="",NA(),Raw_data!B7)</f>
        <v>14-03-25</v>
      </c>
      <c r="C7" t="str">
        <f>IF(Raw_data!C7="",NA(),Raw_data!C7)</f>
        <v>T-Shirt</v>
      </c>
      <c r="D7" t="str">
        <f>IF(Raw_data!D7="",NA(),Raw_data!D7)</f>
        <v>Clothing</v>
      </c>
      <c r="E7">
        <f>IF(Raw_data!E7="",NA(),Raw_data!E7)</f>
        <v>20</v>
      </c>
      <c r="F7">
        <f>IF(Raw_data!F7="",NA(),Raw_data!F7)</f>
        <v>1</v>
      </c>
      <c r="G7">
        <f>IF(Raw_data!G7="",NA(),Raw_data!G7)</f>
        <v>20</v>
      </c>
      <c r="H7" t="str">
        <f>IF(Raw_data!H7="",NA(),Raw_data!H7)</f>
        <v>John Doe</v>
      </c>
      <c r="I7" t="str">
        <f>IF(Raw_data!I7="",NA(),Raw_data!I7)</f>
        <v>Dallas</v>
      </c>
      <c r="J7" t="str">
        <f>IF(Raw_data!J7="",NA(),Raw_data!J7)</f>
        <v>Credit Card</v>
      </c>
      <c r="K7" t="str">
        <f>IF(Raw_data!K7="",NA(),Raw_data!K7)</f>
        <v>Pending</v>
      </c>
      <c r="L7">
        <f t="shared" si="0"/>
        <v>1</v>
      </c>
      <c r="M7" t="str">
        <f t="shared" si="1"/>
        <v>14-03-25</v>
      </c>
      <c r="N7" t="str">
        <f>LEFT(Table2[[#This Row],[Date_text]],2)</f>
        <v>14</v>
      </c>
      <c r="O7" s="32" t="str">
        <f>MID(Table2[[#This Row],[Date_text]],4,2)</f>
        <v>03</v>
      </c>
      <c r="P7" t="str">
        <f>RIGHT(Table2[[#This Row],[Date_text]],2)</f>
        <v>25</v>
      </c>
      <c r="R7" t="s">
        <v>5</v>
      </c>
      <c r="S7" cm="1">
        <f t="array" ref="S7">SUM(IF(Raw_data!F2:F255="",1,0))</f>
        <v>16</v>
      </c>
      <c r="T7">
        <f>_xlfn.AGGREGATE(1,6,Raw_data!F1:F255)</f>
        <v>2.8781512605042017</v>
      </c>
      <c r="U7">
        <f>_xlfn.AGGREGATE(12,6,Raw_data!F1:F255)</f>
        <v>3</v>
      </c>
    </row>
    <row r="8" spans="1:25" x14ac:dyDescent="0.25">
      <c r="A8" t="str">
        <f>IF(Raw_data!A8="",NA(),Raw_data!A8)</f>
        <v>ORD0007</v>
      </c>
      <c r="B8" s="1" t="str">
        <f>IF(Raw_data!B8="",NA(),Raw_data!B8)</f>
        <v>18-03-25</v>
      </c>
      <c r="C8" t="str">
        <f>IF(Raw_data!C8="",NA(),Raw_data!C8)</f>
        <v>Smartwatch</v>
      </c>
      <c r="D8" t="str">
        <f>IF(Raw_data!D8="",NA(),Raw_data!D8)</f>
        <v>Electronics</v>
      </c>
      <c r="E8">
        <f>IF(Raw_data!E8="",NA(),Raw_data!E8)</f>
        <v>150</v>
      </c>
      <c r="F8">
        <f>IF(Raw_data!F8="",NA(),Raw_data!F8)</f>
        <v>4</v>
      </c>
      <c r="G8">
        <f>IF(Raw_data!G8="",NA(),Raw_data!G8)</f>
        <v>600</v>
      </c>
      <c r="H8" t="str">
        <f>IF(Raw_data!H8="",NA(),Raw_data!H8)</f>
        <v>Emma Clark</v>
      </c>
      <c r="I8" t="str">
        <f>IF(Raw_data!I8="",NA(),Raw_data!I8)</f>
        <v>Houston</v>
      </c>
      <c r="J8" t="str">
        <f>IF(Raw_data!J8="",NA(),Raw_data!J8)</f>
        <v>PayPal</v>
      </c>
      <c r="K8" t="str">
        <f>IF(Raw_data!K8="",NA(),Raw_data!K8)</f>
        <v>Completed</v>
      </c>
      <c r="L8">
        <f t="shared" si="0"/>
        <v>1</v>
      </c>
      <c r="M8" t="str">
        <f t="shared" si="1"/>
        <v>18-03-25</v>
      </c>
      <c r="N8" t="str">
        <f>LEFT(Table2[[#This Row],[Date_text]],2)</f>
        <v>18</v>
      </c>
      <c r="O8" s="32" t="str">
        <f>MID(Table2[[#This Row],[Date_text]],4,2)</f>
        <v>03</v>
      </c>
      <c r="P8" t="str">
        <f>RIGHT(Table2[[#This Row],[Date_text]],2)</f>
        <v>25</v>
      </c>
      <c r="R8" t="s">
        <v>6</v>
      </c>
      <c r="S8" cm="1">
        <f t="array" ref="S8">SUM(IF(Raw_data!G2:G255="",1,0))</f>
        <v>0</v>
      </c>
      <c r="T8">
        <f>_xlfn.AGGREGATE(1,6,Raw_data!G1:G255)</f>
        <v>991.51574803149606</v>
      </c>
      <c r="U8">
        <f>_xlfn.AGGREGATE(12,6,Raw_data!G1:G255)</f>
        <v>400</v>
      </c>
    </row>
    <row r="9" spans="1:25" x14ac:dyDescent="0.25">
      <c r="A9" t="str">
        <f>IF(Raw_data!A9="",NA(),Raw_data!A9)</f>
        <v>ORD0008</v>
      </c>
      <c r="B9" s="1">
        <f>IF(Raw_data!B9="",NA(),Raw_data!B9)</f>
        <v>45691</v>
      </c>
      <c r="C9" t="str">
        <f>IF(Raw_data!C9="",NA(),Raw_data!C9)</f>
        <v>Smartphone</v>
      </c>
      <c r="D9" t="str">
        <f>IF(Raw_data!D9="",NA(),Raw_data!D9)</f>
        <v>Electronics</v>
      </c>
      <c r="E9">
        <f>IF(Raw_data!E9="",NA(),Raw_data!E9)</f>
        <v>500</v>
      </c>
      <c r="F9">
        <f>IF(Raw_data!F9="",NA(),Raw_data!F9)</f>
        <v>1</v>
      </c>
      <c r="G9">
        <f>IF(Raw_data!G9="",NA(),Raw_data!G9)</f>
        <v>500</v>
      </c>
      <c r="H9" t="str">
        <f>IF(Raw_data!H9="",NA(),Raw_data!H9)</f>
        <v>Sophia Miller</v>
      </c>
      <c r="I9" t="str">
        <f>IF(Raw_data!I9="",NA(),Raw_data!I9)</f>
        <v>Miami</v>
      </c>
      <c r="J9" t="str">
        <f>IF(Raw_data!J9="",NA(),Raw_data!J9)</f>
        <v>PayPal</v>
      </c>
      <c r="K9" t="str">
        <f>IF(Raw_data!K9="",NA(),Raw_data!K9)</f>
        <v>Completed</v>
      </c>
      <c r="L9">
        <f t="shared" si="0"/>
        <v>1</v>
      </c>
      <c r="M9" t="str">
        <f t="shared" si="1"/>
        <v>03-02-25</v>
      </c>
      <c r="N9" t="str">
        <f>LEFT(Table2[[#This Row],[Date_text]],2)</f>
        <v>03</v>
      </c>
      <c r="O9" s="32" t="str">
        <f>MID(Table2[[#This Row],[Date_text]],4,2)</f>
        <v>02</v>
      </c>
      <c r="P9" t="str">
        <f>RIGHT(Table2[[#This Row],[Date_text]],2)</f>
        <v>25</v>
      </c>
      <c r="R9" t="s">
        <v>7</v>
      </c>
      <c r="S9" cm="1">
        <f t="array" ref="S9">SUM(IF(Raw_data!H2:H255="",1,0))</f>
        <v>0</v>
      </c>
    </row>
    <row r="10" spans="1:25" x14ac:dyDescent="0.25">
      <c r="A10" t="str">
        <f>IF(Raw_data!A10="",NA(),Raw_data!A10)</f>
        <v>ORD0009</v>
      </c>
      <c r="B10" s="1">
        <f>IF(Raw_data!B10="",NA(),Raw_data!B10)</f>
        <v>45872</v>
      </c>
      <c r="C10" t="str">
        <f>IF(Raw_data!C10="",NA(),Raw_data!C10)</f>
        <v>T-Shirt</v>
      </c>
      <c r="D10" t="str">
        <f>IF(Raw_data!D10="",NA(),Raw_data!D10)</f>
        <v>Clothing</v>
      </c>
      <c r="E10">
        <f>IF(Raw_data!E10="",NA(),Raw_data!E10)</f>
        <v>20</v>
      </c>
      <c r="F10">
        <f>IF(Raw_data!F10="",NA(),Raw_data!F10)</f>
        <v>3</v>
      </c>
      <c r="G10">
        <f>IF(Raw_data!G10="",NA(),Raw_data!G10)</f>
        <v>60</v>
      </c>
      <c r="H10" t="str">
        <f>IF(Raw_data!H10="",NA(),Raw_data!H10)</f>
        <v>Sophia Miller</v>
      </c>
      <c r="I10" t="str">
        <f>IF(Raw_data!I10="",NA(),Raw_data!I10)</f>
        <v>Boston</v>
      </c>
      <c r="J10" t="str">
        <f>IF(Raw_data!J10="",NA(),Raw_data!J10)</f>
        <v>PayPal</v>
      </c>
      <c r="K10" t="str">
        <f>IF(Raw_data!K10="",NA(),Raw_data!K10)</f>
        <v>Completed</v>
      </c>
      <c r="L10">
        <f t="shared" si="0"/>
        <v>1</v>
      </c>
      <c r="M10" t="str">
        <f t="shared" si="1"/>
        <v>03-08-25</v>
      </c>
      <c r="N10" t="str">
        <f>LEFT(Table2[[#This Row],[Date_text]],2)</f>
        <v>03</v>
      </c>
      <c r="O10" s="32" t="str">
        <f>MID(Table2[[#This Row],[Date_text]],4,2)</f>
        <v>08</v>
      </c>
      <c r="P10" t="str">
        <f>RIGHT(Table2[[#This Row],[Date_text]],2)</f>
        <v>25</v>
      </c>
      <c r="R10" t="s">
        <v>8</v>
      </c>
      <c r="S10" cm="1">
        <f t="array" ref="S10">SUM(IF(Raw_data!I2:I255="",1,0))</f>
        <v>11</v>
      </c>
      <c r="V10" t="s">
        <v>49</v>
      </c>
    </row>
    <row r="11" spans="1:25" x14ac:dyDescent="0.25">
      <c r="A11" t="str">
        <f>IF(Raw_data!A11="",NA(),Raw_data!A11)</f>
        <v>ORD0010</v>
      </c>
      <c r="B11" s="1">
        <f>IF(Raw_data!B11="",NA(),Raw_data!B11)</f>
        <v>45994</v>
      </c>
      <c r="C11" t="str">
        <f>IF(Raw_data!C11="",NA(),Raw_data!C11)</f>
        <v>Smartphone</v>
      </c>
      <c r="D11" t="str">
        <f>IF(Raw_data!D11="",NA(),Raw_data!D11)</f>
        <v>Electronics</v>
      </c>
      <c r="E11">
        <f>IF(Raw_data!E11="",NA(),Raw_data!E11)</f>
        <v>500</v>
      </c>
      <c r="F11">
        <f>IF(Raw_data!F11="",NA(),Raw_data!F11)</f>
        <v>1</v>
      </c>
      <c r="G11">
        <f>IF(Raw_data!G11="",NA(),Raw_data!G11)</f>
        <v>500</v>
      </c>
      <c r="H11" t="str">
        <f>IF(Raw_data!H11="",NA(),Raw_data!H11)</f>
        <v>Emily Johnson</v>
      </c>
      <c r="I11" t="str">
        <f>IF(Raw_data!I11="",NA(),Raw_data!I11)</f>
        <v>San Francisco</v>
      </c>
      <c r="J11" t="str">
        <f>IF(Raw_data!J11="",NA(),Raw_data!J11)</f>
        <v>Credit Card</v>
      </c>
      <c r="K11" t="str">
        <f>IF(Raw_data!K11="",NA(),Raw_data!K11)</f>
        <v>Cancelled</v>
      </c>
      <c r="L11">
        <f t="shared" si="0"/>
        <v>1</v>
      </c>
      <c r="M11" t="str">
        <f t="shared" si="1"/>
        <v>03-12-25</v>
      </c>
      <c r="N11" t="str">
        <f>LEFT(Table2[[#This Row],[Date_text]],2)</f>
        <v>03</v>
      </c>
      <c r="O11" s="32" t="str">
        <f>MID(Table2[[#This Row],[Date_text]],4,2)</f>
        <v>12</v>
      </c>
      <c r="P11" t="str">
        <f>RIGHT(Table2[[#This Row],[Date_text]],2)</f>
        <v>25</v>
      </c>
      <c r="R11" t="s">
        <v>9</v>
      </c>
      <c r="S11" cm="1">
        <f t="array" ref="S11">SUM(IF(Raw_data!J2:J255="",1,0))</f>
        <v>0</v>
      </c>
    </row>
    <row r="12" spans="1:25" x14ac:dyDescent="0.25">
      <c r="A12" t="str">
        <f>IF(Raw_data!A12="",NA(),Raw_data!A12)</f>
        <v>ORD0011</v>
      </c>
      <c r="B12" s="1" t="str">
        <f>IF(Raw_data!B12="",NA(),Raw_data!B12)</f>
        <v>17-02-25</v>
      </c>
      <c r="C12" t="str">
        <f>IF(Raw_data!C12="",NA(),Raw_data!C12)</f>
        <v>Book</v>
      </c>
      <c r="D12" t="s">
        <v>22</v>
      </c>
      <c r="E12">
        <f>IF(Raw_data!E12="",NA(),Raw_data!E12)</f>
        <v>15</v>
      </c>
      <c r="F12">
        <f>IF(Raw_data!F12="",NA(),Raw_data!F12)</f>
        <v>2</v>
      </c>
      <c r="G12">
        <f>IF(Raw_data!G12="",NA(),Raw_data!G12)</f>
        <v>30</v>
      </c>
      <c r="H12" t="str">
        <f>IF(Raw_data!H12="",NA(),Raw_data!H12)</f>
        <v>David Lee</v>
      </c>
      <c r="I12" t="str">
        <f>IF(Raw_data!I12="",NA(),Raw_data!I12)</f>
        <v>Boston</v>
      </c>
      <c r="J12" t="str">
        <f>IF(Raw_data!J12="",NA(),Raw_data!J12)</f>
        <v>Amazon Pay</v>
      </c>
      <c r="K12" t="str">
        <f>IF(Raw_data!K12="",NA(),Raw_data!K12)</f>
        <v>Pending</v>
      </c>
      <c r="L12">
        <f t="shared" si="0"/>
        <v>1</v>
      </c>
      <c r="M12" t="str">
        <f t="shared" si="1"/>
        <v>17-02-25</v>
      </c>
      <c r="N12" t="str">
        <f>LEFT(Table2[[#This Row],[Date_text]],2)</f>
        <v>17</v>
      </c>
      <c r="O12" s="32" t="str">
        <f>MID(Table2[[#This Row],[Date_text]],4,2)</f>
        <v>02</v>
      </c>
      <c r="P12" t="str">
        <f>RIGHT(Table2[[#This Row],[Date_text]],2)</f>
        <v>25</v>
      </c>
      <c r="R12" t="s">
        <v>10</v>
      </c>
      <c r="S12" cm="1">
        <f t="array" ref="S12">SUM(IF(Raw_data!K2:K255="",1,0))</f>
        <v>0</v>
      </c>
    </row>
    <row r="13" spans="1:25" x14ac:dyDescent="0.25">
      <c r="A13" t="str">
        <f>IF(Raw_data!A13="",NA(),Raw_data!A13)</f>
        <v>ORD0012</v>
      </c>
      <c r="B13" s="1" t="str">
        <f>IF(Raw_data!B13="",NA(),Raw_data!B13)</f>
        <v>13-03-25</v>
      </c>
      <c r="C13" t="str">
        <f>IF(Raw_data!C13="",NA(),Raw_data!C13)</f>
        <v>Jeans</v>
      </c>
      <c r="D13" t="str">
        <f>IF(Raw_data!D13="",NA(),Raw_data!D13)</f>
        <v>Clothing</v>
      </c>
      <c r="E13">
        <f>IF(Raw_data!E13="",NA(),Raw_data!E13)</f>
        <v>40</v>
      </c>
      <c r="F13">
        <v>3</v>
      </c>
      <c r="G13">
        <f>IF(Raw_data!G13="",NA(),Raw_data!G13)</f>
        <v>160</v>
      </c>
      <c r="H13" t="str">
        <f>IF(Raw_data!H13="",NA(),Raw_data!H13)</f>
        <v>Michael Brown</v>
      </c>
      <c r="I13" t="str">
        <f>IF(Raw_data!I13="",NA(),Raw_data!I13)</f>
        <v>Dallas</v>
      </c>
      <c r="J13" t="str">
        <f>IF(Raw_data!J13="",NA(),Raw_data!J13)</f>
        <v>Credit Card</v>
      </c>
      <c r="K13" t="str">
        <f>IF(Raw_data!K13="",NA(),Raw_data!K13)</f>
        <v>Completed</v>
      </c>
      <c r="L13">
        <f t="shared" si="0"/>
        <v>1</v>
      </c>
      <c r="M13" t="str">
        <f t="shared" si="1"/>
        <v>13-03-25</v>
      </c>
      <c r="N13" t="str">
        <f>LEFT(Table2[[#This Row],[Date_text]],2)</f>
        <v>13</v>
      </c>
      <c r="O13" s="32" t="str">
        <f>MID(Table2[[#This Row],[Date_text]],4,2)</f>
        <v>03</v>
      </c>
      <c r="P13" t="str">
        <f>RIGHT(Table2[[#This Row],[Date_text]],2)</f>
        <v>25</v>
      </c>
    </row>
    <row r="14" spans="1:25" x14ac:dyDescent="0.25">
      <c r="A14" t="str">
        <f>IF(Raw_data!A15="",NA(),Raw_data!A15)</f>
        <v>ORD0014</v>
      </c>
      <c r="B14" s="1">
        <f>IF(Raw_data!B15="",NA(),Raw_data!B15)</f>
        <v>45750</v>
      </c>
      <c r="C14" t="str">
        <f>IF(Raw_data!C15="",NA(),Raw_data!C15)</f>
        <v>Washing Machine</v>
      </c>
      <c r="D14" t="str">
        <f>IF(Raw_data!D15="",NA(),Raw_data!D15)</f>
        <v>Home Appliances</v>
      </c>
      <c r="E14">
        <f>IF(Raw_data!E15="",NA(),Raw_data!E15)</f>
        <v>600</v>
      </c>
      <c r="F14">
        <f>IF(Raw_data!F15="",NA(),Raw_data!F15)</f>
        <v>3</v>
      </c>
      <c r="G14">
        <f>IF(Raw_data!G15="",NA(),Raw_data!G15)</f>
        <v>1800</v>
      </c>
      <c r="H14" t="str">
        <f>IF(Raw_data!H15="",NA(),Raw_data!H15)</f>
        <v>Michael Brown</v>
      </c>
      <c r="I14" t="str">
        <f>IF(Raw_data!I15="",NA(),Raw_data!I15)</f>
        <v>Miami</v>
      </c>
      <c r="J14" t="str">
        <f>IF(Raw_data!J15="",NA(),Raw_data!J15)</f>
        <v>Credit Card</v>
      </c>
      <c r="K14" t="str">
        <f>IF(Raw_data!K15="",NA(),Raw_data!K15)</f>
        <v>Cancelled</v>
      </c>
      <c r="L14">
        <f t="shared" si="0"/>
        <v>1</v>
      </c>
      <c r="M14" t="str">
        <f t="shared" si="1"/>
        <v>03-04-25</v>
      </c>
      <c r="N14" t="str">
        <f>LEFT(Table2[[#This Row],[Date_text]],2)</f>
        <v>03</v>
      </c>
      <c r="O14" s="32" t="str">
        <f>MID(Table2[[#This Row],[Date_text]],4,2)</f>
        <v>04</v>
      </c>
      <c r="P14" t="str">
        <f>RIGHT(Table2[[#This Row],[Date_text]],2)</f>
        <v>25</v>
      </c>
      <c r="R14" s="4" t="s">
        <v>344</v>
      </c>
      <c r="S14" s="5" t="s">
        <v>347</v>
      </c>
      <c r="U14" s="12" t="s">
        <v>345</v>
      </c>
      <c r="V14" s="13" t="s">
        <v>347</v>
      </c>
      <c r="X14" s="20" t="s">
        <v>346</v>
      </c>
      <c r="Y14" s="21" t="s">
        <v>347</v>
      </c>
    </row>
    <row r="15" spans="1:25" x14ac:dyDescent="0.25">
      <c r="A15" t="str">
        <f>IF(Raw_data!A16="",NA(),Raw_data!A16)</f>
        <v>ORD0015</v>
      </c>
      <c r="B15" s="1" t="str">
        <f>IF(Raw_data!B16="",NA(),Raw_data!B16)</f>
        <v>20-02-25</v>
      </c>
      <c r="C15" t="str">
        <f>IF(Raw_data!C16="",NA(),Raw_data!C16)</f>
        <v>Smartwatch</v>
      </c>
      <c r="D15" t="str">
        <f>IF(Raw_data!D16="",NA(),Raw_data!D16)</f>
        <v>Electronics</v>
      </c>
      <c r="E15">
        <f>IF(Raw_data!E16="",NA(),Raw_data!E16)</f>
        <v>150</v>
      </c>
      <c r="F15">
        <f>IF(Raw_data!F16="",NA(),Raw_data!F16)</f>
        <v>4</v>
      </c>
      <c r="G15">
        <f>IF(Raw_data!G16="",NA(),Raw_data!G16)</f>
        <v>600</v>
      </c>
      <c r="H15" t="str">
        <f>IF(Raw_data!H16="",NA(),Raw_data!H16)</f>
        <v>John Doe</v>
      </c>
      <c r="I15" t="str">
        <f>IF(Raw_data!I16="",NA(),Raw_data!I16)</f>
        <v>Seattle</v>
      </c>
      <c r="J15" t="str">
        <f>IF(Raw_data!J16="",NA(),Raw_data!J16)</f>
        <v>Credit Card</v>
      </c>
      <c r="K15" t="str">
        <f>IF(Raw_data!K16="",NA(),Raw_data!K16)</f>
        <v>Completed</v>
      </c>
      <c r="L15">
        <f t="shared" si="0"/>
        <v>1</v>
      </c>
      <c r="M15" t="str">
        <f t="shared" si="1"/>
        <v>20-02-25</v>
      </c>
      <c r="N15" t="str">
        <f>LEFT(Table2[[#This Row],[Date_text]],2)</f>
        <v>20</v>
      </c>
      <c r="O15" s="32" t="str">
        <f>MID(Table2[[#This Row],[Date_text]],4,2)</f>
        <v>02</v>
      </c>
      <c r="P15" t="str">
        <f>RIGHT(Table2[[#This Row],[Date_text]],2)</f>
        <v>25</v>
      </c>
      <c r="R15" s="6" t="str" cm="1">
        <f t="array" ref="R15:R25">_xlfn.UNIQUE(Raw_data!C2:C255)</f>
        <v>Running Shoes</v>
      </c>
      <c r="S15" s="7">
        <f>COUNTIF(Raw_data!C2:C255,R15)</f>
        <v>27</v>
      </c>
      <c r="U15" s="14" t="str" cm="1">
        <f t="array" ref="U15:U20">_xlfn.UNIQUE(Raw_data!D2:D255)</f>
        <v>Footwear</v>
      </c>
      <c r="V15" s="15">
        <f>COUNTIF(Raw_data!D2:D255,U15)</f>
        <v>25</v>
      </c>
      <c r="X15" s="22" t="str" cm="1">
        <f t="array" ref="X15:X25">_xlfn.UNIQUE(Raw_data!I2:I255)</f>
        <v>New York</v>
      </c>
      <c r="Y15" s="23">
        <f>COUNTIF(Raw_data!I2:I255,X15)</f>
        <v>24</v>
      </c>
    </row>
    <row r="16" spans="1:25" x14ac:dyDescent="0.25">
      <c r="A16" t="str">
        <f>IF(Raw_data!A17="",NA(),Raw_data!A17)</f>
        <v>ORD0016</v>
      </c>
      <c r="B16" s="1" t="str">
        <f>IF(Raw_data!B17="",NA(),Raw_data!B17)</f>
        <v>26-02-25</v>
      </c>
      <c r="C16" t="str">
        <f>IF(Raw_data!C17="",NA(),Raw_data!C17)</f>
        <v>Refrigerator</v>
      </c>
      <c r="D16" t="str">
        <f>IF(Raw_data!D17="",NA(),Raw_data!D17)</f>
        <v>Home Appliances</v>
      </c>
      <c r="E16">
        <v>150</v>
      </c>
      <c r="F16">
        <f>IF(Raw_data!F17="",NA(),Raw_data!F17)</f>
        <v>1</v>
      </c>
      <c r="G16">
        <f>IF(Raw_data!G17="",NA(),Raw_data!G17)</f>
        <v>1200</v>
      </c>
      <c r="H16" t="str">
        <f>IF(Raw_data!H17="",NA(),Raw_data!H17)</f>
        <v>John Doe</v>
      </c>
      <c r="I16" t="str">
        <f>IF(Raw_data!I17="",NA(),Raw_data!I17)</f>
        <v>Boston</v>
      </c>
      <c r="J16" t="str">
        <f>IF(Raw_data!J17="",NA(),Raw_data!J17)</f>
        <v>Credit Card</v>
      </c>
      <c r="K16" t="str">
        <f>IF(Raw_data!K17="",NA(),Raw_data!K17)</f>
        <v>Cancelled</v>
      </c>
      <c r="L16">
        <f t="shared" si="0"/>
        <v>1</v>
      </c>
      <c r="M16" t="str">
        <f t="shared" si="1"/>
        <v>26-02-25</v>
      </c>
      <c r="N16" t="str">
        <f>LEFT(Table2[[#This Row],[Date_text]],2)</f>
        <v>26</v>
      </c>
      <c r="O16" s="32" t="str">
        <f>MID(Table2[[#This Row],[Date_text]],4,2)</f>
        <v>02</v>
      </c>
      <c r="P16" t="str">
        <f>RIGHT(Table2[[#This Row],[Date_text]],2)</f>
        <v>25</v>
      </c>
      <c r="R16" s="8" t="str">
        <v>Headphones</v>
      </c>
      <c r="S16" s="9">
        <f>COUNTIF(Raw_data!C3:C256,R16)</f>
        <v>22</v>
      </c>
      <c r="U16" s="16" t="str">
        <v>Electronics</v>
      </c>
      <c r="V16" s="17">
        <f>COUNTIF(Raw_data!D3:D256,U16)</f>
        <v>118</v>
      </c>
      <c r="X16" s="24" t="str">
        <v>San Francisco</v>
      </c>
      <c r="Y16" s="25">
        <f>COUNTIF(Raw_data!I3:I256,X16)</f>
        <v>19</v>
      </c>
    </row>
    <row r="17" spans="1:25" x14ac:dyDescent="0.25">
      <c r="A17" t="str">
        <f>IF(Raw_data!A18="",NA(),Raw_data!A18)</f>
        <v>ORD0017</v>
      </c>
      <c r="B17" s="1">
        <f>IF(Raw_data!B18="",NA(),Raw_data!B18)</f>
        <v>45661</v>
      </c>
      <c r="C17" t="str">
        <f>IF(Raw_data!C18="",NA(),Raw_data!C18)</f>
        <v>T-Shirt</v>
      </c>
      <c r="D17" t="str">
        <f>IF(Raw_data!D18="",NA(),Raw_data!D18)</f>
        <v>Clothing</v>
      </c>
      <c r="E17">
        <f>IF(Raw_data!E18="",NA(),Raw_data!E18)</f>
        <v>20</v>
      </c>
      <c r="F17">
        <f>IF(Raw_data!F18="",NA(),Raw_data!F18)</f>
        <v>1</v>
      </c>
      <c r="G17">
        <f>IF(Raw_data!G18="",NA(),Raw_data!G18)</f>
        <v>20</v>
      </c>
      <c r="H17" t="str">
        <f>IF(Raw_data!H18="",NA(),Raw_data!H18)</f>
        <v>Emma Clark</v>
      </c>
      <c r="I17" t="str">
        <f>IF(Raw_data!I18="",NA(),Raw_data!I18)</f>
        <v>New York</v>
      </c>
      <c r="J17" t="str">
        <f>IF(Raw_data!J18="",NA(),Raw_data!J18)</f>
        <v>Amazon Pay</v>
      </c>
      <c r="K17" t="str">
        <f>IF(Raw_data!K18="",NA(),Raw_data!K18)</f>
        <v>Completed</v>
      </c>
      <c r="L17">
        <f t="shared" si="0"/>
        <v>1</v>
      </c>
      <c r="M17" t="str">
        <f t="shared" si="1"/>
        <v>04-01-25</v>
      </c>
      <c r="N17" t="str">
        <f>LEFT(Table2[[#This Row],[Date_text]],2)</f>
        <v>04</v>
      </c>
      <c r="O17" s="32" t="str">
        <f>MID(Table2[[#This Row],[Date_text]],4,2)</f>
        <v>01</v>
      </c>
      <c r="P17" t="str">
        <f>RIGHT(Table2[[#This Row],[Date_text]],2)</f>
        <v>25</v>
      </c>
      <c r="R17" s="6" t="str">
        <v>Smartwatch</v>
      </c>
      <c r="S17" s="7">
        <f>COUNTIF(Raw_data!C4:C257,R17)</f>
        <v>33</v>
      </c>
      <c r="U17" s="14" t="str">
        <v>Clothing</v>
      </c>
      <c r="V17" s="15">
        <f>COUNTIF(Raw_data!D4:D257,U17)</f>
        <v>37</v>
      </c>
      <c r="X17" s="22" t="str">
        <v>Denver</v>
      </c>
      <c r="Y17" s="23">
        <f>COUNTIF(Raw_data!I4:I257,X17)</f>
        <v>26</v>
      </c>
    </row>
    <row r="18" spans="1:25" x14ac:dyDescent="0.25">
      <c r="A18" t="str">
        <f>IF(Raw_data!A19="",NA(),Raw_data!A19)</f>
        <v>ORD0018</v>
      </c>
      <c r="B18" s="1">
        <f>IF(Raw_data!B19="",NA(),Raw_data!B19)</f>
        <v>45932</v>
      </c>
      <c r="C18" t="str">
        <f>IF(Raw_data!C19="",NA(),Raw_data!C19)</f>
        <v>Smartphone</v>
      </c>
      <c r="D18" t="str">
        <f>IF(Raw_data!D19="",NA(),Raw_data!D19)</f>
        <v>Electronics</v>
      </c>
      <c r="E18">
        <f>IF(Raw_data!E19="",NA(),Raw_data!E19)</f>
        <v>500</v>
      </c>
      <c r="F18">
        <f>IF(Raw_data!F19="",NA(),Raw_data!F19)</f>
        <v>2</v>
      </c>
      <c r="G18">
        <f>IF(Raw_data!G19="",NA(),Raw_data!G19)</f>
        <v>1000</v>
      </c>
      <c r="H18" t="str">
        <f>IF(Raw_data!H19="",NA(),Raw_data!H19)</f>
        <v>Michael Brown</v>
      </c>
      <c r="I18" t="str">
        <f>IF(Raw_data!I19="",NA(),Raw_data!I19)</f>
        <v>Los Angeles</v>
      </c>
      <c r="J18" t="str">
        <f>IF(Raw_data!J19="",NA(),Raw_data!J19)</f>
        <v>Amazon Pay</v>
      </c>
      <c r="K18" t="str">
        <f>IF(Raw_data!K19="",NA(),Raw_data!K19)</f>
        <v>Completed</v>
      </c>
      <c r="L18">
        <f t="shared" si="0"/>
        <v>1</v>
      </c>
      <c r="M18" t="str">
        <f t="shared" si="1"/>
        <v>02-10-25</v>
      </c>
      <c r="N18" t="str">
        <f>LEFT(Table2[[#This Row],[Date_text]],2)</f>
        <v>02</v>
      </c>
      <c r="O18" s="32" t="str">
        <f>MID(Table2[[#This Row],[Date_text]],4,2)</f>
        <v>10</v>
      </c>
      <c r="P18" t="str">
        <f>RIGHT(Table2[[#This Row],[Date_text]],2)</f>
        <v>25</v>
      </c>
      <c r="R18" s="8" t="str">
        <v>T-Shirt</v>
      </c>
      <c r="S18" s="9">
        <f>COUNTIF(Raw_data!C5:C258,R18)</f>
        <v>20</v>
      </c>
      <c r="U18" s="16">
        <v>0</v>
      </c>
      <c r="V18" s="17">
        <f>COUNTIF(Raw_data!D5:D258,U18)</f>
        <v>0</v>
      </c>
      <c r="X18" s="24" t="str">
        <v>Dallas</v>
      </c>
      <c r="Y18" s="25">
        <f>COUNTIF(Raw_data!I5:I258,X18)</f>
        <v>27</v>
      </c>
    </row>
    <row r="19" spans="1:25" x14ac:dyDescent="0.25">
      <c r="A19" t="str">
        <f>IF(Raw_data!A20="",NA(),Raw_data!A20)</f>
        <v>ORD0019</v>
      </c>
      <c r="B19" s="1" t="str">
        <f>IF(Raw_data!B20="",NA(),Raw_data!B20)</f>
        <v>22-03-25</v>
      </c>
      <c r="C19" t="str">
        <f>IF(Raw_data!C20="",NA(),Raw_data!C20)</f>
        <v>Running Shoes</v>
      </c>
      <c r="D19" t="str">
        <f>IF(Raw_data!D20="",NA(),Raw_data!D20)</f>
        <v>Footwear</v>
      </c>
      <c r="E19">
        <f>IF(Raw_data!E20="",NA(),Raw_data!E20)</f>
        <v>60</v>
      </c>
      <c r="F19">
        <f>IF(Raw_data!F20="",NA(),Raw_data!F20)</f>
        <v>3</v>
      </c>
      <c r="G19">
        <f>IF(Raw_data!G20="",NA(),Raw_data!G20)</f>
        <v>180</v>
      </c>
      <c r="H19" t="str">
        <f>IF(Raw_data!H20="",NA(),Raw_data!H20)</f>
        <v>Olivia Wilson</v>
      </c>
      <c r="I19" t="str">
        <f>IF(Raw_data!I20="",NA(),Raw_data!I20)</f>
        <v>Houston</v>
      </c>
      <c r="J19" t="str">
        <f>IF(Raw_data!J20="",NA(),Raw_data!J20)</f>
        <v>Credit Card</v>
      </c>
      <c r="K19" t="str">
        <f>IF(Raw_data!K20="",NA(),Raw_data!K20)</f>
        <v>Completed</v>
      </c>
      <c r="L19">
        <f t="shared" si="0"/>
        <v>1</v>
      </c>
      <c r="M19" t="str">
        <f t="shared" si="1"/>
        <v>22-03-25</v>
      </c>
      <c r="N19" t="str">
        <f>LEFT(Table2[[#This Row],[Date_text]],2)</f>
        <v>22</v>
      </c>
      <c r="O19" s="32" t="str">
        <f>MID(Table2[[#This Row],[Date_text]],4,2)</f>
        <v>03</v>
      </c>
      <c r="P19" t="str">
        <f>RIGHT(Table2[[#This Row],[Date_text]],2)</f>
        <v>25</v>
      </c>
      <c r="R19" s="6" t="str">
        <v>Smartphone</v>
      </c>
      <c r="S19" s="7">
        <f>COUNTIF(Raw_data!C6:C259,R19)</f>
        <v>35</v>
      </c>
      <c r="U19" s="14" t="str">
        <v>Home Appliances</v>
      </c>
      <c r="V19" s="15">
        <f>COUNTIF(Raw_data!D6:D259,U19)</f>
        <v>37</v>
      </c>
      <c r="X19" s="22" t="str">
        <v>Houston</v>
      </c>
      <c r="Y19" s="23">
        <f>COUNTIF(Raw_data!I6:I259,X19)</f>
        <v>29</v>
      </c>
    </row>
    <row r="20" spans="1:25" x14ac:dyDescent="0.25">
      <c r="A20" t="str">
        <f>IF(Raw_data!A21="",NA(),Raw_data!A21)</f>
        <v>ORD0020</v>
      </c>
      <c r="B20" s="1">
        <f>IF(Raw_data!B21="",NA(),Raw_data!B21)</f>
        <v>45841</v>
      </c>
      <c r="C20" t="str">
        <f>IF(Raw_data!C21="",NA(),Raw_data!C21)</f>
        <v>Headphones</v>
      </c>
      <c r="D20" t="str">
        <f>IF(Raw_data!D21="",NA(),Raw_data!D21)</f>
        <v>Electronics</v>
      </c>
      <c r="E20">
        <f>IF(Raw_data!E21="",NA(),Raw_data!E21)</f>
        <v>100</v>
      </c>
      <c r="F20">
        <f>IF(Raw_data!F21="",NA(),Raw_data!F21)</f>
        <v>4</v>
      </c>
      <c r="G20">
        <f>IF(Raw_data!G21="",NA(),Raw_data!G21)</f>
        <v>400</v>
      </c>
      <c r="H20" t="str">
        <f>IF(Raw_data!H21="",NA(),Raw_data!H21)</f>
        <v>Olivia Wilson</v>
      </c>
      <c r="I20" t="str">
        <f>IF(Raw_data!I21="",NA(),Raw_data!I21)</f>
        <v>Seattle</v>
      </c>
      <c r="J20" t="str">
        <f>IF(Raw_data!J21="",NA(),Raw_data!J21)</f>
        <v>Debit Card</v>
      </c>
      <c r="K20" t="str">
        <f>IF(Raw_data!K21="",NA(),Raw_data!K21)</f>
        <v>Pending</v>
      </c>
      <c r="L20">
        <f t="shared" si="0"/>
        <v>1</v>
      </c>
      <c r="M20" t="str">
        <f t="shared" si="1"/>
        <v>03-07-25</v>
      </c>
      <c r="N20" t="str">
        <f>LEFT(Table2[[#This Row],[Date_text]],2)</f>
        <v>03</v>
      </c>
      <c r="O20" s="32" t="str">
        <f>MID(Table2[[#This Row],[Date_text]],4,2)</f>
        <v>07</v>
      </c>
      <c r="P20" t="str">
        <f>RIGHT(Table2[[#This Row],[Date_text]],2)</f>
        <v>25</v>
      </c>
      <c r="R20" s="8" t="str">
        <v>Book</v>
      </c>
      <c r="S20" s="9">
        <f>COUNTIF(Raw_data!C7:C260,R20)</f>
        <v>23</v>
      </c>
      <c r="U20" s="16" t="str">
        <v>Books</v>
      </c>
      <c r="V20" s="17">
        <f>COUNTIF(Raw_data!D7:D260,U20)</f>
        <v>23</v>
      </c>
      <c r="X20" s="24" t="str">
        <v>Miami</v>
      </c>
      <c r="Y20" s="25">
        <f>COUNTIF(Raw_data!I7:I260,X20)</f>
        <v>30</v>
      </c>
    </row>
    <row r="21" spans="1:25" x14ac:dyDescent="0.25">
      <c r="A21" t="str">
        <f>IF(Raw_data!A23="",NA(),Raw_data!A23)</f>
        <v>ORD0022</v>
      </c>
      <c r="B21" s="1">
        <f>IF(Raw_data!B23="",NA(),Raw_data!B23)</f>
        <v>45841</v>
      </c>
      <c r="C21" t="str">
        <f>IF(Raw_data!C23="",NA(),Raw_data!C23)</f>
        <v>Refrigerator</v>
      </c>
      <c r="D21" t="str">
        <f>IF(Raw_data!D23="",NA(),Raw_data!D23)</f>
        <v>Home Appliances</v>
      </c>
      <c r="E21">
        <f>IF(Raw_data!E23="",NA(),Raw_data!E23)</f>
        <v>1200</v>
      </c>
      <c r="F21">
        <f>IF(Raw_data!F23="",NA(),Raw_data!F23)</f>
        <v>4</v>
      </c>
      <c r="G21">
        <f>IF(Raw_data!G23="",NA(),Raw_data!G23)</f>
        <v>4800</v>
      </c>
      <c r="H21" t="str">
        <f>IF(Raw_data!H23="",NA(),Raw_data!H23)</f>
        <v>Olivia Wilson</v>
      </c>
      <c r="I21" t="str">
        <f>IF(Raw_data!I23="",NA(),Raw_data!I23)</f>
        <v>Houston</v>
      </c>
      <c r="J21" t="str">
        <f>IF(Raw_data!J23="",NA(),Raw_data!J23)</f>
        <v>Credit Card</v>
      </c>
      <c r="K21" t="str">
        <f>IF(Raw_data!K23="",NA(),Raw_data!K23)</f>
        <v>Pending</v>
      </c>
      <c r="L21">
        <f t="shared" si="0"/>
        <v>1</v>
      </c>
      <c r="M21" t="str">
        <f t="shared" si="1"/>
        <v>03-07-25</v>
      </c>
      <c r="N21" t="str">
        <f>LEFT(Table2[[#This Row],[Date_text]],2)</f>
        <v>03</v>
      </c>
      <c r="O21" s="32" t="str">
        <f>MID(Table2[[#This Row],[Date_text]],4,2)</f>
        <v>07</v>
      </c>
      <c r="P21" t="str">
        <f>RIGHT(Table2[[#This Row],[Date_text]],2)</f>
        <v>25</v>
      </c>
      <c r="R21" s="6" t="str">
        <v>Jeans</v>
      </c>
      <c r="S21" s="7">
        <f>COUNTIF(Raw_data!C8:C261,R21)</f>
        <v>16</v>
      </c>
      <c r="U21" s="14"/>
      <c r="V21" s="15"/>
      <c r="X21" s="22" t="str">
        <v>Boston</v>
      </c>
      <c r="Y21" s="23">
        <f>COUNTIF(Raw_data!I8:I261,X21)</f>
        <v>29</v>
      </c>
    </row>
    <row r="22" spans="1:25" x14ac:dyDescent="0.25">
      <c r="A22" t="str">
        <f>IF(Raw_data!A24="",NA(),Raw_data!A24)</f>
        <v>ORD0023</v>
      </c>
      <c r="B22" s="1" t="str">
        <f>IF(Raw_data!B24="",NA(),Raw_data!B24)</f>
        <v>23-02-25</v>
      </c>
      <c r="C22" t="str">
        <f>IF(Raw_data!C24="",NA(),Raw_data!C24)</f>
        <v>Book</v>
      </c>
      <c r="D22" t="str">
        <f>IF(Raw_data!D24="",NA(),Raw_data!D24)</f>
        <v>Books</v>
      </c>
      <c r="E22">
        <f>IF(Raw_data!E24="",NA(),Raw_data!E24)</f>
        <v>15</v>
      </c>
      <c r="F22">
        <f>IF(Raw_data!F24="",NA(),Raw_data!F24)</f>
        <v>1</v>
      </c>
      <c r="G22">
        <f>IF(Raw_data!G24="",NA(),Raw_data!G24)</f>
        <v>15</v>
      </c>
      <c r="H22" t="str">
        <f>IF(Raw_data!H24="",NA(),Raw_data!H24)</f>
        <v>Emma Clark</v>
      </c>
      <c r="I22" t="str">
        <f>IF(Raw_data!I24="",NA(),Raw_data!I24)</f>
        <v>Houston</v>
      </c>
      <c r="J22" t="str">
        <f>IF(Raw_data!J24="",NA(),Raw_data!J24)</f>
        <v>Credit Card</v>
      </c>
      <c r="K22" t="str">
        <f>IF(Raw_data!K24="",NA(),Raw_data!K24)</f>
        <v>Pending</v>
      </c>
      <c r="L22">
        <f t="shared" si="0"/>
        <v>1</v>
      </c>
      <c r="M22" t="str">
        <f t="shared" si="1"/>
        <v>23-02-25</v>
      </c>
      <c r="N22" t="str">
        <f>LEFT(Table2[[#This Row],[Date_text]],2)</f>
        <v>23</v>
      </c>
      <c r="O22" s="32" t="str">
        <f>MID(Table2[[#This Row],[Date_text]],4,2)</f>
        <v>02</v>
      </c>
      <c r="P22" t="str">
        <f>RIGHT(Table2[[#This Row],[Date_text]],2)</f>
        <v>25</v>
      </c>
      <c r="R22" s="8">
        <v>0</v>
      </c>
      <c r="S22" s="9">
        <f>COUNTIF(Raw_data!C9:C262,R22)</f>
        <v>0</v>
      </c>
      <c r="U22" s="16"/>
      <c r="V22" s="17"/>
      <c r="X22" s="24" t="str">
        <v>Seattle</v>
      </c>
      <c r="Y22" s="25">
        <f>COUNTIF(Raw_data!I9:I262,X22)</f>
        <v>22</v>
      </c>
    </row>
    <row r="23" spans="1:25" x14ac:dyDescent="0.25">
      <c r="A23" t="str">
        <f>IF(Raw_data!A25="",NA(),Raw_data!A25)</f>
        <v>ORD0024</v>
      </c>
      <c r="B23" s="1" t="str">
        <f>IF(Raw_data!B25="",NA(),Raw_data!B25)</f>
        <v>24-03-25</v>
      </c>
      <c r="C23" t="str">
        <f>IF(Raw_data!C25="",NA(),Raw_data!C25)</f>
        <v>Refrigerator</v>
      </c>
      <c r="D23" t="str">
        <f>IF(Raw_data!D25="",NA(),Raw_data!D25)</f>
        <v>Home Appliances</v>
      </c>
      <c r="E23">
        <f>IF(Raw_data!E25="",NA(),Raw_data!E25)</f>
        <v>1200</v>
      </c>
      <c r="F23">
        <f>IF(Raw_data!F25="",NA(),Raw_data!F25)</f>
        <v>3</v>
      </c>
      <c r="G23">
        <f>IF(Raw_data!G25="",NA(),Raw_data!G25)</f>
        <v>3600</v>
      </c>
      <c r="H23" t="str">
        <f>IF(Raw_data!H25="",NA(),Raw_data!H25)</f>
        <v>Chris White</v>
      </c>
      <c r="I23" t="str">
        <f>IF(Raw_data!I25="",NA(),Raw_data!I25)</f>
        <v>Dallas</v>
      </c>
      <c r="J23" t="str">
        <f>IF(Raw_data!J25="",NA(),Raw_data!J25)</f>
        <v>Credit Card</v>
      </c>
      <c r="K23" t="str">
        <f>IF(Raw_data!K25="",NA(),Raw_data!K25)</f>
        <v>Cancelled</v>
      </c>
      <c r="L23">
        <f t="shared" si="0"/>
        <v>1</v>
      </c>
      <c r="M23" t="str">
        <f t="shared" si="1"/>
        <v>24-03-25</v>
      </c>
      <c r="N23" t="str">
        <f>LEFT(Table2[[#This Row],[Date_text]],2)</f>
        <v>24</v>
      </c>
      <c r="O23" s="32" t="str">
        <f>MID(Table2[[#This Row],[Date_text]],4,2)</f>
        <v>03</v>
      </c>
      <c r="P23" t="str">
        <f>RIGHT(Table2[[#This Row],[Date_text]],2)</f>
        <v>25</v>
      </c>
      <c r="R23" s="6" t="str">
        <v>Washing Machine</v>
      </c>
      <c r="S23" s="7">
        <f>COUNTIF(Raw_data!C10:C263,R23)</f>
        <v>15</v>
      </c>
      <c r="U23" s="14"/>
      <c r="V23" s="15"/>
      <c r="X23" s="22" t="str">
        <v>Los Angeles</v>
      </c>
      <c r="Y23" s="23">
        <f>COUNTIF(Raw_data!I10:I263,X23)</f>
        <v>17</v>
      </c>
    </row>
    <row r="24" spans="1:25" x14ac:dyDescent="0.25">
      <c r="A24" t="str">
        <f>IF(Raw_data!A26="",NA(),Raw_data!A26)</f>
        <v>ORD0025</v>
      </c>
      <c r="B24" s="1">
        <f>IF(Raw_data!B26="",NA(),Raw_data!B26)</f>
        <v>45691</v>
      </c>
      <c r="C24" t="str">
        <f>IF(Raw_data!C26="",NA(),Raw_data!C26)</f>
        <v>Book</v>
      </c>
      <c r="D24" t="str">
        <f>IF(Raw_data!D26="",NA(),Raw_data!D26)</f>
        <v>Books</v>
      </c>
      <c r="E24">
        <f>IF(Raw_data!E26="",NA(),Raw_data!E26)</f>
        <v>15</v>
      </c>
      <c r="F24">
        <f>IF(Raw_data!F26="",NA(),Raw_data!F26)</f>
        <v>5</v>
      </c>
      <c r="G24">
        <f>IF(Raw_data!G26="",NA(),Raw_data!G26)</f>
        <v>75</v>
      </c>
      <c r="H24" t="str">
        <f>IF(Raw_data!H26="",NA(),Raw_data!H26)</f>
        <v>Sophia Miller</v>
      </c>
      <c r="I24" t="str">
        <f>IF(Raw_data!I26="",NA(),Raw_data!I26)</f>
        <v>Seattle</v>
      </c>
      <c r="J24" t="str">
        <f>IF(Raw_data!J26="",NA(),Raw_data!J26)</f>
        <v>Amazon Pay</v>
      </c>
      <c r="K24" t="str">
        <f>IF(Raw_data!K26="",NA(),Raw_data!K26)</f>
        <v>Completed</v>
      </c>
      <c r="L24">
        <f t="shared" si="0"/>
        <v>1</v>
      </c>
      <c r="M24" t="str">
        <f t="shared" si="1"/>
        <v>03-02-25</v>
      </c>
      <c r="N24" t="str">
        <f>LEFT(Table2[[#This Row],[Date_text]],2)</f>
        <v>03</v>
      </c>
      <c r="O24" s="32" t="str">
        <f>MID(Table2[[#This Row],[Date_text]],4,2)</f>
        <v>02</v>
      </c>
      <c r="P24" t="str">
        <f>RIGHT(Table2[[#This Row],[Date_text]],2)</f>
        <v>25</v>
      </c>
      <c r="R24" s="8" t="str">
        <v>Refrigerator</v>
      </c>
      <c r="S24" s="9">
        <f>COUNTIF(Raw_data!C11:C264,R24)</f>
        <v>20</v>
      </c>
      <c r="U24" s="16"/>
      <c r="V24" s="17"/>
      <c r="X24" s="24" t="str">
        <v>Chicago</v>
      </c>
      <c r="Y24" s="25">
        <f>COUNTIF(Raw_data!I11:I264,X24)</f>
        <v>20</v>
      </c>
    </row>
    <row r="25" spans="1:25" x14ac:dyDescent="0.25">
      <c r="A25" t="str">
        <f>IF(Raw_data!A27="",NA(),Raw_data!A27)</f>
        <v>ORD0026</v>
      </c>
      <c r="B25" s="1" t="str">
        <f>IF(Raw_data!B27="",NA(),Raw_data!B27)</f>
        <v>14-02-25</v>
      </c>
      <c r="C25" t="str">
        <f>IF(Raw_data!C27="",NA(),Raw_data!C27)</f>
        <v>Washing Machine</v>
      </c>
      <c r="D25" t="str">
        <f>IF(Raw_data!D27="",NA(),Raw_data!D27)</f>
        <v>Home Appliances</v>
      </c>
      <c r="E25">
        <f>IF(Raw_data!E27="",NA(),Raw_data!E27)</f>
        <v>600</v>
      </c>
      <c r="F25">
        <f>IF(Raw_data!F27="",NA(),Raw_data!F27)</f>
        <v>1</v>
      </c>
      <c r="G25">
        <f>IF(Raw_data!G27="",NA(),Raw_data!G27)</f>
        <v>600</v>
      </c>
      <c r="H25" t="str">
        <f>IF(Raw_data!H27="",NA(),Raw_data!H27)</f>
        <v>Olivia Wilson</v>
      </c>
      <c r="I25" t="str">
        <f>IF(Raw_data!I27="",NA(),Raw_data!I27)</f>
        <v>Boston</v>
      </c>
      <c r="J25" t="str">
        <f>IF(Raw_data!J27="",NA(),Raw_data!J27)</f>
        <v>Debit Card</v>
      </c>
      <c r="K25" t="str">
        <f>IF(Raw_data!K27="",NA(),Raw_data!K27)</f>
        <v>Cancelled</v>
      </c>
      <c r="L25">
        <f t="shared" si="0"/>
        <v>1</v>
      </c>
      <c r="M25" t="str">
        <f t="shared" si="1"/>
        <v>14-02-25</v>
      </c>
      <c r="N25" t="str">
        <f>LEFT(Table2[[#This Row],[Date_text]],2)</f>
        <v>14</v>
      </c>
      <c r="O25" s="32" t="str">
        <f>MID(Table2[[#This Row],[Date_text]],4,2)</f>
        <v>02</v>
      </c>
      <c r="P25" t="str">
        <f>RIGHT(Table2[[#This Row],[Date_text]],2)</f>
        <v>25</v>
      </c>
      <c r="R25" s="2" t="str">
        <v>Laptop</v>
      </c>
      <c r="S25" s="3">
        <f>COUNTIF(Raw_data!C12:C265,R25)</f>
        <v>22</v>
      </c>
      <c r="U25" s="10"/>
      <c r="V25" s="11"/>
      <c r="X25" s="18">
        <v>0</v>
      </c>
      <c r="Y25" s="19">
        <f>COUNTIF(Raw_data!I12:I265,X25)</f>
        <v>0</v>
      </c>
    </row>
    <row r="26" spans="1:25" x14ac:dyDescent="0.25">
      <c r="A26" t="str">
        <f>IF(Raw_data!A28="",NA(),Raw_data!A28)</f>
        <v>ORD0027</v>
      </c>
      <c r="B26" s="1">
        <f>IF(Raw_data!B28="",NA(),Raw_data!B28)</f>
        <v>45840</v>
      </c>
      <c r="C26" t="str">
        <f>IF(Raw_data!C28="",NA(),Raw_data!C28)</f>
        <v>T-Shirt</v>
      </c>
      <c r="D26" t="s">
        <v>22</v>
      </c>
      <c r="E26">
        <f>IF(Raw_data!E28="",NA(),Raw_data!E28)</f>
        <v>20</v>
      </c>
      <c r="F26">
        <v>3</v>
      </c>
      <c r="G26">
        <f>IF(Raw_data!G28="",NA(),Raw_data!G28)</f>
        <v>20</v>
      </c>
      <c r="H26" t="str">
        <f>IF(Raw_data!H28="",NA(),Raw_data!H28)</f>
        <v>Daniel Harris</v>
      </c>
      <c r="I26" t="str">
        <f>IF(Raw_data!I28="",NA(),Raw_data!I28)</f>
        <v>New York</v>
      </c>
      <c r="J26" t="str">
        <f>IF(Raw_data!J28="",NA(),Raw_data!J28)</f>
        <v>Amazon Pay</v>
      </c>
      <c r="K26" t="str">
        <f>IF(Raw_data!K28="",NA(),Raw_data!K28)</f>
        <v>Pending</v>
      </c>
      <c r="L26">
        <f t="shared" si="0"/>
        <v>1</v>
      </c>
      <c r="M26" t="str">
        <f t="shared" si="1"/>
        <v>02-07-25</v>
      </c>
      <c r="N26" t="str">
        <f>LEFT(Table2[[#This Row],[Date_text]],2)</f>
        <v>02</v>
      </c>
      <c r="O26" s="32" t="str">
        <f>MID(Table2[[#This Row],[Date_text]],4,2)</f>
        <v>07</v>
      </c>
      <c r="P26" t="str">
        <f>RIGHT(Table2[[#This Row],[Date_text]],2)</f>
        <v>25</v>
      </c>
    </row>
    <row r="27" spans="1:25" x14ac:dyDescent="0.25">
      <c r="A27" t="str">
        <f>IF(Raw_data!A29="",NA(),Raw_data!A29)</f>
        <v>ORD0028</v>
      </c>
      <c r="B27" s="1">
        <f>IF(Raw_data!B29="",NA(),Raw_data!B29)</f>
        <v>45718</v>
      </c>
      <c r="C27" t="str">
        <f>IF(Raw_data!C29="",NA(),Raw_data!C29)</f>
        <v>Headphones</v>
      </c>
      <c r="D27" t="str">
        <f>IF(Raw_data!D29="",NA(),Raw_data!D29)</f>
        <v>Electronics</v>
      </c>
      <c r="E27">
        <f>IF(Raw_data!E29="",NA(),Raw_data!E29)</f>
        <v>100</v>
      </c>
      <c r="F27">
        <f>IF(Raw_data!F29="",NA(),Raw_data!F29)</f>
        <v>1</v>
      </c>
      <c r="G27">
        <f>IF(Raw_data!G29="",NA(),Raw_data!G29)</f>
        <v>100</v>
      </c>
      <c r="H27" t="str">
        <f>IF(Raw_data!H29="",NA(),Raw_data!H29)</f>
        <v>Jane Smith</v>
      </c>
      <c r="I27" t="str">
        <f>IF(Raw_data!I29="",NA(),Raw_data!I29)</f>
        <v>Chicago</v>
      </c>
      <c r="J27" t="str">
        <f>IF(Raw_data!J29="",NA(),Raw_data!J29)</f>
        <v>Amazon Pay</v>
      </c>
      <c r="K27" t="str">
        <f>IF(Raw_data!K29="",NA(),Raw_data!K29)</f>
        <v>Completed</v>
      </c>
      <c r="L27">
        <f t="shared" si="0"/>
        <v>1</v>
      </c>
      <c r="M27" t="str">
        <f t="shared" si="1"/>
        <v>02-03-25</v>
      </c>
      <c r="N27" t="str">
        <f>LEFT(Table2[[#This Row],[Date_text]],2)</f>
        <v>02</v>
      </c>
      <c r="O27" s="32" t="str">
        <f>MID(Table2[[#This Row],[Date_text]],4,2)</f>
        <v>03</v>
      </c>
      <c r="P27" t="str">
        <f>RIGHT(Table2[[#This Row],[Date_text]],2)</f>
        <v>25</v>
      </c>
    </row>
    <row r="28" spans="1:25" x14ac:dyDescent="0.25">
      <c r="A28" t="str">
        <f>IF(Raw_data!A30="",NA(),Raw_data!A30)</f>
        <v>ORD0029</v>
      </c>
      <c r="B28" s="1">
        <f>IF(Raw_data!B30="",NA(),Raw_data!B30)</f>
        <v>45993</v>
      </c>
      <c r="C28" t="str">
        <f>IF(Raw_data!C30="",NA(),Raw_data!C30)</f>
        <v>Smartphone</v>
      </c>
      <c r="D28" t="str">
        <f>IF(Raw_data!D30="",NA(),Raw_data!D30)</f>
        <v>Electronics</v>
      </c>
      <c r="E28">
        <f>IF(Raw_data!E30="",NA(),Raw_data!E30)</f>
        <v>500</v>
      </c>
      <c r="F28">
        <f>IF(Raw_data!F30="",NA(),Raw_data!F30)</f>
        <v>1</v>
      </c>
      <c r="G28">
        <f>IF(Raw_data!G30="",NA(),Raw_data!G30)</f>
        <v>500</v>
      </c>
      <c r="H28" t="str">
        <f>IF(Raw_data!H30="",NA(),Raw_data!H30)</f>
        <v>Sophia Miller</v>
      </c>
      <c r="I28" t="str">
        <f>IF(Raw_data!I30="",NA(),Raw_data!I30)</f>
        <v>Denver</v>
      </c>
      <c r="J28" t="str">
        <f>IF(Raw_data!J30="",NA(),Raw_data!J30)</f>
        <v>Credit Card</v>
      </c>
      <c r="K28" t="str">
        <f>IF(Raw_data!K30="",NA(),Raw_data!K30)</f>
        <v>Cancelled</v>
      </c>
      <c r="L28">
        <f t="shared" si="0"/>
        <v>1</v>
      </c>
      <c r="M28" t="str">
        <f t="shared" si="1"/>
        <v>02-12-25</v>
      </c>
      <c r="N28" t="str">
        <f>LEFT(Table2[[#This Row],[Date_text]],2)</f>
        <v>02</v>
      </c>
      <c r="O28" s="32" t="str">
        <f>MID(Table2[[#This Row],[Date_text]],4,2)</f>
        <v>12</v>
      </c>
      <c r="P28" t="str">
        <f>RIGHT(Table2[[#This Row],[Date_text]],2)</f>
        <v>25</v>
      </c>
    </row>
    <row r="29" spans="1:25" x14ac:dyDescent="0.25">
      <c r="A29" t="str">
        <f>IF(Raw_data!A31="",NA(),Raw_data!A31)</f>
        <v>ORD0030</v>
      </c>
      <c r="B29" s="1">
        <f>IF(Raw_data!B31="",NA(),Raw_data!B31)</f>
        <v>45932</v>
      </c>
      <c r="C29" t="str">
        <f>IF(Raw_data!C31="",NA(),Raw_data!C31)</f>
        <v>Washing Machine</v>
      </c>
      <c r="D29" t="str">
        <f>IF(Raw_data!D31="",NA(),Raw_data!D31)</f>
        <v>Home Appliances</v>
      </c>
      <c r="E29">
        <f>IF(Raw_data!E31="",NA(),Raw_data!E31)</f>
        <v>600</v>
      </c>
      <c r="F29">
        <f>IF(Raw_data!F31="",NA(),Raw_data!F31)</f>
        <v>3</v>
      </c>
      <c r="G29">
        <f>IF(Raw_data!G31="",NA(),Raw_data!G31)</f>
        <v>1800</v>
      </c>
      <c r="H29" t="str">
        <f>IF(Raw_data!H31="",NA(),Raw_data!H31)</f>
        <v>Emily Johnson</v>
      </c>
      <c r="I29" t="str">
        <f>IF(Raw_data!I31="",NA(),Raw_data!I31)</f>
        <v>Dallas</v>
      </c>
      <c r="J29" t="str">
        <f>IF(Raw_data!J31="",NA(),Raw_data!J31)</f>
        <v>Gift Card</v>
      </c>
      <c r="K29" t="str">
        <f>IF(Raw_data!K31="",NA(),Raw_data!K31)</f>
        <v>Cancelled</v>
      </c>
      <c r="L29">
        <f t="shared" si="0"/>
        <v>1</v>
      </c>
      <c r="M29" t="str">
        <f t="shared" si="1"/>
        <v>02-10-25</v>
      </c>
      <c r="N29" t="str">
        <f>LEFT(Table2[[#This Row],[Date_text]],2)</f>
        <v>02</v>
      </c>
      <c r="O29" s="32" t="str">
        <f>MID(Table2[[#This Row],[Date_text]],4,2)</f>
        <v>10</v>
      </c>
      <c r="P29" t="str">
        <f>RIGHT(Table2[[#This Row],[Date_text]],2)</f>
        <v>25</v>
      </c>
    </row>
    <row r="30" spans="1:25" x14ac:dyDescent="0.25">
      <c r="A30" t="str">
        <f>IF(Raw_data!A32="",NA(),Raw_data!A32)</f>
        <v>ORD0031</v>
      </c>
      <c r="B30" s="1" t="str">
        <f>IF(Raw_data!B32="",NA(),Raw_data!B32)</f>
        <v>24-03-25</v>
      </c>
      <c r="C30" t="str">
        <f>IF(Raw_data!C32="",NA(),Raw_data!C32)</f>
        <v>Smartphone</v>
      </c>
      <c r="D30" t="str">
        <f>IF(Raw_data!D32="",NA(),Raw_data!D32)</f>
        <v>Electronics</v>
      </c>
      <c r="E30">
        <v>150</v>
      </c>
      <c r="F30">
        <f>IF(Raw_data!F32="",NA(),Raw_data!F32)</f>
        <v>1</v>
      </c>
      <c r="G30">
        <f>IF(Raw_data!G32="",NA(),Raw_data!G32)</f>
        <v>500</v>
      </c>
      <c r="H30" t="str">
        <f>IF(Raw_data!H32="",NA(),Raw_data!H32)</f>
        <v>John Doe</v>
      </c>
      <c r="I30" t="str">
        <f>IF(Raw_data!I32="",NA(),Raw_data!I32)</f>
        <v>Houston</v>
      </c>
      <c r="J30" t="str">
        <f>IF(Raw_data!J32="",NA(),Raw_data!J32)</f>
        <v>Gift Card</v>
      </c>
      <c r="K30" t="str">
        <f>IF(Raw_data!K32="",NA(),Raw_data!K32)</f>
        <v>Pending</v>
      </c>
      <c r="L30">
        <f t="shared" si="0"/>
        <v>1</v>
      </c>
      <c r="M30" t="str">
        <f t="shared" si="1"/>
        <v>24-03-25</v>
      </c>
      <c r="N30" t="str">
        <f>LEFT(Table2[[#This Row],[Date_text]],2)</f>
        <v>24</v>
      </c>
      <c r="O30" s="32" t="str">
        <f>MID(Table2[[#This Row],[Date_text]],4,2)</f>
        <v>03</v>
      </c>
      <c r="P30" t="str">
        <f>RIGHT(Table2[[#This Row],[Date_text]],2)</f>
        <v>25</v>
      </c>
    </row>
    <row r="31" spans="1:25" x14ac:dyDescent="0.25">
      <c r="A31" t="str">
        <f>IF(Raw_data!A33="",NA(),Raw_data!A33)</f>
        <v>ORD0032</v>
      </c>
      <c r="B31" s="1">
        <f>IF(Raw_data!B33="",NA(),Raw_data!B33)</f>
        <v>45933</v>
      </c>
      <c r="C31" t="str">
        <f>IF(Raw_data!C33="",NA(),Raw_data!C33)</f>
        <v>Smartphone</v>
      </c>
      <c r="D31" t="str">
        <f>IF(Raw_data!D33="",NA(),Raw_data!D33)</f>
        <v>Electronics</v>
      </c>
      <c r="E31">
        <f>IF(Raw_data!E33="",NA(),Raw_data!E33)</f>
        <v>500</v>
      </c>
      <c r="F31">
        <f>IF(Raw_data!F33="",NA(),Raw_data!F33)</f>
        <v>4</v>
      </c>
      <c r="G31">
        <f>IF(Raw_data!G33="",NA(),Raw_data!G33)</f>
        <v>2000</v>
      </c>
      <c r="H31" t="str">
        <f>IF(Raw_data!H33="",NA(),Raw_data!H33)</f>
        <v>Michael Brown</v>
      </c>
      <c r="I31" t="str">
        <f>IF(Raw_data!I33="",NA(),Raw_data!I33)</f>
        <v>Seattle</v>
      </c>
      <c r="J31" t="str">
        <f>IF(Raw_data!J33="",NA(),Raw_data!J33)</f>
        <v>PayPal</v>
      </c>
      <c r="K31" t="str">
        <f>IF(Raw_data!K33="",NA(),Raw_data!K33)</f>
        <v>Pending</v>
      </c>
      <c r="L31">
        <f t="shared" si="0"/>
        <v>1</v>
      </c>
      <c r="M31" t="str">
        <f t="shared" si="1"/>
        <v>03-10-25</v>
      </c>
      <c r="N31" t="str">
        <f>LEFT(Table2[[#This Row],[Date_text]],2)</f>
        <v>03</v>
      </c>
      <c r="O31" s="32" t="str">
        <f>MID(Table2[[#This Row],[Date_text]],4,2)</f>
        <v>10</v>
      </c>
      <c r="P31" t="str">
        <f>RIGHT(Table2[[#This Row],[Date_text]],2)</f>
        <v>25</v>
      </c>
    </row>
    <row r="32" spans="1:25" x14ac:dyDescent="0.25">
      <c r="A32" t="str">
        <f>IF(Raw_data!A35="",NA(),Raw_data!A35)</f>
        <v>ORD0034</v>
      </c>
      <c r="B32" s="1">
        <f>IF(Raw_data!B35="",NA(),Raw_data!B35)</f>
        <v>45692</v>
      </c>
      <c r="C32" t="str">
        <f>IF(Raw_data!C35="",NA(),Raw_data!C35)</f>
        <v>T-Shirt</v>
      </c>
      <c r="D32" t="str">
        <f>IF(Raw_data!D35="",NA(),Raw_data!D35)</f>
        <v>Clothing</v>
      </c>
      <c r="E32">
        <f>IF(Raw_data!E35="",NA(),Raw_data!E35)</f>
        <v>20</v>
      </c>
      <c r="F32">
        <f>IF(Raw_data!F35="",NA(),Raw_data!F35)</f>
        <v>5</v>
      </c>
      <c r="G32">
        <f>IF(Raw_data!G35="",NA(),Raw_data!G35)</f>
        <v>100</v>
      </c>
      <c r="H32" t="str">
        <f>IF(Raw_data!H35="",NA(),Raw_data!H35)</f>
        <v>Jane Smith</v>
      </c>
      <c r="I32" t="str">
        <f>IF(Raw_data!I35="",NA(),Raw_data!I35)</f>
        <v>New York</v>
      </c>
      <c r="J32" t="str">
        <f>IF(Raw_data!J35="",NA(),Raw_data!J35)</f>
        <v>Credit Card</v>
      </c>
      <c r="K32" t="str">
        <f>IF(Raw_data!K35="",NA(),Raw_data!K35)</f>
        <v>Pending</v>
      </c>
      <c r="L32">
        <f t="shared" si="0"/>
        <v>1</v>
      </c>
      <c r="M32" t="str">
        <f t="shared" si="1"/>
        <v>04-02-25</v>
      </c>
      <c r="N32" t="str">
        <f>LEFT(Table2[[#This Row],[Date_text]],2)</f>
        <v>04</v>
      </c>
      <c r="O32" s="32" t="str">
        <f>MID(Table2[[#This Row],[Date_text]],4,2)</f>
        <v>02</v>
      </c>
      <c r="P32" t="str">
        <f>RIGHT(Table2[[#This Row],[Date_text]],2)</f>
        <v>25</v>
      </c>
    </row>
    <row r="33" spans="1:16" x14ac:dyDescent="0.25">
      <c r="A33" t="str">
        <f>IF(Raw_data!A36="",NA(),Raw_data!A36)</f>
        <v>ORD0035</v>
      </c>
      <c r="B33" s="1">
        <f>IF(Raw_data!B36="",NA(),Raw_data!B36)</f>
        <v>45692</v>
      </c>
      <c r="C33" t="str">
        <f>IF(Raw_data!C36="",NA(),Raw_data!C36)</f>
        <v>Laptop</v>
      </c>
      <c r="D33" t="str">
        <f>IF(Raw_data!D36="",NA(),Raw_data!D36)</f>
        <v>Electronics</v>
      </c>
      <c r="E33">
        <f>IF(Raw_data!E36="",NA(),Raw_data!E36)</f>
        <v>800</v>
      </c>
      <c r="F33">
        <f>IF(Raw_data!F36="",NA(),Raw_data!F36)</f>
        <v>3</v>
      </c>
      <c r="G33">
        <f>IF(Raw_data!G36="",NA(),Raw_data!G36)</f>
        <v>2400</v>
      </c>
      <c r="H33" t="str">
        <f>IF(Raw_data!H36="",NA(),Raw_data!H36)</f>
        <v>Emma Clark</v>
      </c>
      <c r="I33" t="str">
        <f>IF(Raw_data!I36="",NA(),Raw_data!I36)</f>
        <v>Denver</v>
      </c>
      <c r="J33" t="str">
        <f>IF(Raw_data!J36="",NA(),Raw_data!J36)</f>
        <v>Amazon Pay</v>
      </c>
      <c r="K33" t="str">
        <f>IF(Raw_data!K36="",NA(),Raw_data!K36)</f>
        <v>Completed</v>
      </c>
      <c r="L33">
        <f t="shared" si="0"/>
        <v>1</v>
      </c>
      <c r="M33" t="str">
        <f t="shared" si="1"/>
        <v>04-02-25</v>
      </c>
      <c r="N33" t="str">
        <f>LEFT(Table2[[#This Row],[Date_text]],2)</f>
        <v>04</v>
      </c>
      <c r="O33" s="32" t="str">
        <f>MID(Table2[[#This Row],[Date_text]],4,2)</f>
        <v>02</v>
      </c>
      <c r="P33" t="str">
        <f>RIGHT(Table2[[#This Row],[Date_text]],2)</f>
        <v>25</v>
      </c>
    </row>
    <row r="34" spans="1:16" x14ac:dyDescent="0.25">
      <c r="A34" t="str">
        <f>IF(Raw_data!A37="",NA(),Raw_data!A37)</f>
        <v>ORD0036</v>
      </c>
      <c r="B34" s="1">
        <f>IF(Raw_data!B37="",NA(),Raw_data!B37)</f>
        <v>45902</v>
      </c>
      <c r="C34" t="str">
        <f>IF(Raw_data!C37="",NA(),Raw_data!C37)</f>
        <v>Refrigerator</v>
      </c>
      <c r="D34" t="str">
        <f>IF(Raw_data!D37="",NA(),Raw_data!D37)</f>
        <v>Home Appliances</v>
      </c>
      <c r="E34">
        <f>IF(Raw_data!E37="",NA(),Raw_data!E37)</f>
        <v>1200</v>
      </c>
      <c r="F34">
        <f>IF(Raw_data!F37="",NA(),Raw_data!F37)</f>
        <v>2</v>
      </c>
      <c r="G34">
        <f>IF(Raw_data!G37="",NA(),Raw_data!G37)</f>
        <v>2400</v>
      </c>
      <c r="H34" t="str">
        <f>IF(Raw_data!H37="",NA(),Raw_data!H37)</f>
        <v>Sophia Miller</v>
      </c>
      <c r="I34" t="str">
        <f>IF(Raw_data!I37="",NA(),Raw_data!I37)</f>
        <v>Boston</v>
      </c>
      <c r="J34" t="str">
        <f>IF(Raw_data!J37="",NA(),Raw_data!J37)</f>
        <v>PayPal</v>
      </c>
      <c r="K34" t="str">
        <f>IF(Raw_data!K37="",NA(),Raw_data!K37)</f>
        <v>Cancelled</v>
      </c>
      <c r="L34">
        <f t="shared" si="0"/>
        <v>1</v>
      </c>
      <c r="M34" t="str">
        <f t="shared" si="1"/>
        <v>02-09-25</v>
      </c>
      <c r="N34" t="str">
        <f>LEFT(Table2[[#This Row],[Date_text]],2)</f>
        <v>02</v>
      </c>
      <c r="O34" s="32" t="str">
        <f>MID(Table2[[#This Row],[Date_text]],4,2)</f>
        <v>09</v>
      </c>
      <c r="P34" t="str">
        <f>RIGHT(Table2[[#This Row],[Date_text]],2)</f>
        <v>25</v>
      </c>
    </row>
    <row r="35" spans="1:16" x14ac:dyDescent="0.25">
      <c r="A35" t="str">
        <f>IF(Raw_data!A38="",NA(),Raw_data!A38)</f>
        <v>ORD0037</v>
      </c>
      <c r="B35" s="1" t="str">
        <f>IF(Raw_data!B38="",NA(),Raw_data!B38)</f>
        <v>16-02-25</v>
      </c>
      <c r="C35" t="str">
        <f>IF(Raw_data!C38="",NA(),Raw_data!C38)</f>
        <v>Headphones</v>
      </c>
      <c r="D35" t="str">
        <f>IF(Raw_data!D38="",NA(),Raw_data!D38)</f>
        <v>Electronics</v>
      </c>
      <c r="E35">
        <f>IF(Raw_data!E38="",NA(),Raw_data!E38)</f>
        <v>100</v>
      </c>
      <c r="F35">
        <f>IF(Raw_data!F38="",NA(),Raw_data!F38)</f>
        <v>3</v>
      </c>
      <c r="G35">
        <f>IF(Raw_data!G38="",NA(),Raw_data!G38)</f>
        <v>300</v>
      </c>
      <c r="H35" t="str">
        <f>IF(Raw_data!H38="",NA(),Raw_data!H38)</f>
        <v>Michael Brown</v>
      </c>
      <c r="I35" t="str">
        <f>IF(Raw_data!I38="",NA(),Raw_data!I38)</f>
        <v>New York</v>
      </c>
      <c r="J35" t="str">
        <f>IF(Raw_data!J38="",NA(),Raw_data!J38)</f>
        <v>Debit Card</v>
      </c>
      <c r="K35" t="str">
        <f>IF(Raw_data!K38="",NA(),Raw_data!K38)</f>
        <v>Cancelled</v>
      </c>
      <c r="L35">
        <f t="shared" si="0"/>
        <v>1</v>
      </c>
      <c r="M35" t="str">
        <f t="shared" si="1"/>
        <v>16-02-25</v>
      </c>
      <c r="N35" t="str">
        <f>LEFT(Table2[[#This Row],[Date_text]],2)</f>
        <v>16</v>
      </c>
      <c r="O35" s="32" t="str">
        <f>MID(Table2[[#This Row],[Date_text]],4,2)</f>
        <v>02</v>
      </c>
      <c r="P35" t="str">
        <f>RIGHT(Table2[[#This Row],[Date_text]],2)</f>
        <v>25</v>
      </c>
    </row>
    <row r="36" spans="1:16" x14ac:dyDescent="0.25">
      <c r="A36" t="str">
        <f>IF(Raw_data!A39="",NA(),Raw_data!A39)</f>
        <v>ORD0038</v>
      </c>
      <c r="B36" s="1" t="str">
        <f>IF(Raw_data!B39="",NA(),Raw_data!B39)</f>
        <v>26-03-25</v>
      </c>
      <c r="C36" t="str">
        <f>IF(Raw_data!C39="",NA(),Raw_data!C39)</f>
        <v>Laptop</v>
      </c>
      <c r="D36" t="str">
        <f>IF(Raw_data!D39="",NA(),Raw_data!D39)</f>
        <v>Electronics</v>
      </c>
      <c r="E36">
        <f>IF(Raw_data!E39="",NA(),Raw_data!E39)</f>
        <v>800</v>
      </c>
      <c r="F36">
        <f>IF(Raw_data!F39="",NA(),Raw_data!F39)</f>
        <v>3</v>
      </c>
      <c r="G36">
        <f>IF(Raw_data!G39="",NA(),Raw_data!G39)</f>
        <v>2400</v>
      </c>
      <c r="H36" t="str">
        <f>IF(Raw_data!H39="",NA(),Raw_data!H39)</f>
        <v>Olivia Wilson</v>
      </c>
      <c r="I36" t="str">
        <f>IF(Raw_data!I39="",NA(),Raw_data!I39)</f>
        <v>Chicago</v>
      </c>
      <c r="J36" t="str">
        <f>IF(Raw_data!J39="",NA(),Raw_data!J39)</f>
        <v>Amazon Pay</v>
      </c>
      <c r="K36" t="str">
        <f>IF(Raw_data!K39="",NA(),Raw_data!K39)</f>
        <v>Completed</v>
      </c>
      <c r="L36">
        <f t="shared" si="0"/>
        <v>1</v>
      </c>
      <c r="M36" t="str">
        <f t="shared" si="1"/>
        <v>26-03-25</v>
      </c>
      <c r="N36" t="str">
        <f>LEFT(Table2[[#This Row],[Date_text]],2)</f>
        <v>26</v>
      </c>
      <c r="O36" s="32" t="str">
        <f>MID(Table2[[#This Row],[Date_text]],4,2)</f>
        <v>03</v>
      </c>
      <c r="P36" t="str">
        <f>RIGHT(Table2[[#This Row],[Date_text]],2)</f>
        <v>25</v>
      </c>
    </row>
    <row r="37" spans="1:16" x14ac:dyDescent="0.25">
      <c r="A37" t="str">
        <f>IF(Raw_data!A40="",NA(),Raw_data!A40)</f>
        <v>ORD0039</v>
      </c>
      <c r="B37" s="1">
        <f>IF(Raw_data!B40="",NA(),Raw_data!B40)</f>
        <v>45691</v>
      </c>
      <c r="C37" t="str">
        <f>IF(Raw_data!C40="",NA(),Raw_data!C40)</f>
        <v>Laptop</v>
      </c>
      <c r="D37" t="s">
        <v>22</v>
      </c>
      <c r="E37">
        <f>IF(Raw_data!E40="",NA(),Raw_data!E40)</f>
        <v>800</v>
      </c>
      <c r="F37">
        <f>IF(Raw_data!F40="",NA(),Raw_data!F40)</f>
        <v>2</v>
      </c>
      <c r="G37">
        <f>IF(Raw_data!G40="",NA(),Raw_data!G40)</f>
        <v>1600</v>
      </c>
      <c r="H37" t="str">
        <f>IF(Raw_data!H40="",NA(),Raw_data!H40)</f>
        <v>Olivia Wilson</v>
      </c>
      <c r="I37" t="str">
        <f>IF(Raw_data!I40="",NA(),Raw_data!I40)</f>
        <v>San Francisco</v>
      </c>
      <c r="J37" t="str">
        <f>IF(Raw_data!J40="",NA(),Raw_data!J40)</f>
        <v>PayPal</v>
      </c>
      <c r="K37" t="str">
        <f>IF(Raw_data!K40="",NA(),Raw_data!K40)</f>
        <v>Completed</v>
      </c>
      <c r="L37">
        <f t="shared" si="0"/>
        <v>1</v>
      </c>
      <c r="M37" t="str">
        <f t="shared" si="1"/>
        <v>03-02-25</v>
      </c>
      <c r="N37" t="str">
        <f>LEFT(Table2[[#This Row],[Date_text]],2)</f>
        <v>03</v>
      </c>
      <c r="O37" s="32" t="str">
        <f>MID(Table2[[#This Row],[Date_text]],4,2)</f>
        <v>02</v>
      </c>
      <c r="P37" t="str">
        <f>RIGHT(Table2[[#This Row],[Date_text]],2)</f>
        <v>25</v>
      </c>
    </row>
    <row r="38" spans="1:16" x14ac:dyDescent="0.25">
      <c r="A38" t="str">
        <f>IF(Raw_data!A41="",NA(),Raw_data!A41)</f>
        <v>ORD0040</v>
      </c>
      <c r="B38" s="1" t="str">
        <f>IF(Raw_data!B41="",NA(),Raw_data!B41)</f>
        <v>26-03-25</v>
      </c>
      <c r="C38" t="str">
        <f>IF(Raw_data!C41="",NA(),Raw_data!C41)</f>
        <v>Smartwatch</v>
      </c>
      <c r="D38" t="str">
        <f>IF(Raw_data!D41="",NA(),Raw_data!D41)</f>
        <v>Electronics</v>
      </c>
      <c r="E38">
        <f>IF(Raw_data!E41="",NA(),Raw_data!E41)</f>
        <v>150</v>
      </c>
      <c r="F38">
        <f>IF(Raw_data!F41="",NA(),Raw_data!F41)</f>
        <v>1</v>
      </c>
      <c r="G38">
        <f>IF(Raw_data!G41="",NA(),Raw_data!G41)</f>
        <v>150</v>
      </c>
      <c r="H38" t="str">
        <f>IF(Raw_data!H41="",NA(),Raw_data!H41)</f>
        <v>Emily Johnson</v>
      </c>
      <c r="I38" t="str">
        <f>IF(Raw_data!I41="",NA(),Raw_data!I41)</f>
        <v>Seattle</v>
      </c>
      <c r="J38" t="str">
        <f>IF(Raw_data!J41="",NA(),Raw_data!J41)</f>
        <v>Gift Card</v>
      </c>
      <c r="K38" t="str">
        <f>IF(Raw_data!K41="",NA(),Raw_data!K41)</f>
        <v>Pending</v>
      </c>
      <c r="L38">
        <f t="shared" si="0"/>
        <v>1</v>
      </c>
      <c r="M38" t="str">
        <f t="shared" si="1"/>
        <v>26-03-25</v>
      </c>
      <c r="N38" t="str">
        <f>LEFT(Table2[[#This Row],[Date_text]],2)</f>
        <v>26</v>
      </c>
      <c r="O38" s="32" t="str">
        <f>MID(Table2[[#This Row],[Date_text]],4,2)</f>
        <v>03</v>
      </c>
      <c r="P38" t="str">
        <f>RIGHT(Table2[[#This Row],[Date_text]],2)</f>
        <v>25</v>
      </c>
    </row>
    <row r="39" spans="1:16" x14ac:dyDescent="0.25">
      <c r="A39" t="str">
        <f>IF(Raw_data!A42="",NA(),Raw_data!A42)</f>
        <v>ORD0041</v>
      </c>
      <c r="B39" s="1" t="str">
        <f>IF(Raw_data!B42="",NA(),Raw_data!B42)</f>
        <v>20-02-25</v>
      </c>
      <c r="C39" t="str">
        <f>IF(Raw_data!C42="",NA(),Raw_data!C42)</f>
        <v>Book</v>
      </c>
      <c r="D39" t="str">
        <f>IF(Raw_data!D42="",NA(),Raw_data!D42)</f>
        <v>Books</v>
      </c>
      <c r="E39">
        <f>IF(Raw_data!E42="",NA(),Raw_data!E42)</f>
        <v>15</v>
      </c>
      <c r="F39">
        <f>IF(Raw_data!F42="",NA(),Raw_data!F42)</f>
        <v>1</v>
      </c>
      <c r="G39">
        <f>IF(Raw_data!G42="",NA(),Raw_data!G42)</f>
        <v>15</v>
      </c>
      <c r="H39" t="str">
        <f>IF(Raw_data!H42="",NA(),Raw_data!H42)</f>
        <v>Jane Smith</v>
      </c>
      <c r="I39" t="str">
        <f>IF(Raw_data!I42="",NA(),Raw_data!I42)</f>
        <v>Miami</v>
      </c>
      <c r="J39" t="str">
        <f>IF(Raw_data!J42="",NA(),Raw_data!J42)</f>
        <v>Credit Card</v>
      </c>
      <c r="K39" t="str">
        <f>IF(Raw_data!K42="",NA(),Raw_data!K42)</f>
        <v>Cancelled</v>
      </c>
      <c r="L39">
        <f t="shared" si="0"/>
        <v>1</v>
      </c>
      <c r="M39" t="str">
        <f t="shared" si="1"/>
        <v>20-02-25</v>
      </c>
      <c r="N39" t="str">
        <f>LEFT(Table2[[#This Row],[Date_text]],2)</f>
        <v>20</v>
      </c>
      <c r="O39" s="32" t="str">
        <f>MID(Table2[[#This Row],[Date_text]],4,2)</f>
        <v>02</v>
      </c>
      <c r="P39" t="str">
        <f>RIGHT(Table2[[#This Row],[Date_text]],2)</f>
        <v>25</v>
      </c>
    </row>
    <row r="40" spans="1:16" x14ac:dyDescent="0.25">
      <c r="A40" t="str">
        <f>IF(Raw_data!A44="",NA(),Raw_data!A44)</f>
        <v>ORD0043</v>
      </c>
      <c r="B40" s="1">
        <f>IF(Raw_data!B44="",NA(),Raw_data!B44)</f>
        <v>45871</v>
      </c>
      <c r="C40" t="str">
        <f>IF(Raw_data!C44="",NA(),Raw_data!C44)</f>
        <v>T-Shirt</v>
      </c>
      <c r="D40" t="str">
        <f>IF(Raw_data!D44="",NA(),Raw_data!D44)</f>
        <v>Clothing</v>
      </c>
      <c r="E40">
        <v>150</v>
      </c>
      <c r="F40">
        <v>3</v>
      </c>
      <c r="G40">
        <f>IF(Raw_data!G44="",NA(),Raw_data!G44)</f>
        <v>80</v>
      </c>
      <c r="H40" t="str">
        <f>IF(Raw_data!H44="",NA(),Raw_data!H44)</f>
        <v>Jane Smith</v>
      </c>
      <c r="I40" t="str">
        <f>IF(Raw_data!I44="",NA(),Raw_data!I44)</f>
        <v>Denver</v>
      </c>
      <c r="J40" t="str">
        <f>IF(Raw_data!J44="",NA(),Raw_data!J44)</f>
        <v>Credit Card</v>
      </c>
      <c r="K40" t="str">
        <f>IF(Raw_data!K44="",NA(),Raw_data!K44)</f>
        <v>Pending</v>
      </c>
      <c r="L40">
        <f t="shared" si="0"/>
        <v>1</v>
      </c>
      <c r="M40" t="str">
        <f t="shared" si="1"/>
        <v>02-08-25</v>
      </c>
      <c r="N40" t="str">
        <f>LEFT(Table2[[#This Row],[Date_text]],2)</f>
        <v>02</v>
      </c>
      <c r="O40" s="32" t="str">
        <f>MID(Table2[[#This Row],[Date_text]],4,2)</f>
        <v>08</v>
      </c>
      <c r="P40" t="str">
        <f>RIGHT(Table2[[#This Row],[Date_text]],2)</f>
        <v>25</v>
      </c>
    </row>
    <row r="41" spans="1:16" x14ac:dyDescent="0.25">
      <c r="A41" t="str">
        <f>IF(Raw_data!A45="",NA(),Raw_data!A45)</f>
        <v>ORD0044</v>
      </c>
      <c r="B41" s="1" t="str">
        <f>IF(Raw_data!B45="",NA(),Raw_data!B45)</f>
        <v>24-03-25</v>
      </c>
      <c r="C41" t="str">
        <f>IF(Raw_data!C45="",NA(),Raw_data!C45)</f>
        <v>Smartwatch</v>
      </c>
      <c r="D41" t="str">
        <f>IF(Raw_data!D45="",NA(),Raw_data!D45)</f>
        <v>Electronics</v>
      </c>
      <c r="E41">
        <f>IF(Raw_data!E45="",NA(),Raw_data!E45)</f>
        <v>150</v>
      </c>
      <c r="F41">
        <f>IF(Raw_data!F45="",NA(),Raw_data!F45)</f>
        <v>1</v>
      </c>
      <c r="G41">
        <f>IF(Raw_data!G45="",NA(),Raw_data!G45)</f>
        <v>150</v>
      </c>
      <c r="H41" t="str">
        <f>IF(Raw_data!H45="",NA(),Raw_data!H45)</f>
        <v>Chris White</v>
      </c>
      <c r="I41" t="str">
        <f>IF(Raw_data!I45="",NA(),Raw_data!I45)</f>
        <v>Houston</v>
      </c>
      <c r="J41" t="str">
        <f>IF(Raw_data!J45="",NA(),Raw_data!J45)</f>
        <v>Debit Card</v>
      </c>
      <c r="K41" t="str">
        <f>IF(Raw_data!K45="",NA(),Raw_data!K45)</f>
        <v>Pending</v>
      </c>
      <c r="L41">
        <f t="shared" si="0"/>
        <v>1</v>
      </c>
      <c r="M41" t="str">
        <f t="shared" si="1"/>
        <v>24-03-25</v>
      </c>
      <c r="N41" t="str">
        <f>LEFT(Table2[[#This Row],[Date_text]],2)</f>
        <v>24</v>
      </c>
      <c r="O41" s="32" t="str">
        <f>MID(Table2[[#This Row],[Date_text]],4,2)</f>
        <v>03</v>
      </c>
      <c r="P41" t="str">
        <f>RIGHT(Table2[[#This Row],[Date_text]],2)</f>
        <v>25</v>
      </c>
    </row>
    <row r="42" spans="1:16" x14ac:dyDescent="0.25">
      <c r="A42" t="str">
        <f>IF(Raw_data!A46="",NA(),Raw_data!A46)</f>
        <v>ORD0045</v>
      </c>
      <c r="B42" s="1" t="str">
        <f>IF(Raw_data!B46="",NA(),Raw_data!B46)</f>
        <v>15-03-25</v>
      </c>
      <c r="C42" t="str">
        <f>IF(Raw_data!C46="",NA(),Raw_data!C46)</f>
        <v>Refrigerator</v>
      </c>
      <c r="D42" t="str">
        <f>IF(Raw_data!D46="",NA(),Raw_data!D46)</f>
        <v>Home Appliances</v>
      </c>
      <c r="E42">
        <f>IF(Raw_data!E46="",NA(),Raw_data!E46)</f>
        <v>1200</v>
      </c>
      <c r="F42">
        <f>IF(Raw_data!F46="",NA(),Raw_data!F46)</f>
        <v>3</v>
      </c>
      <c r="G42">
        <f>IF(Raw_data!G46="",NA(),Raw_data!G46)</f>
        <v>3600</v>
      </c>
      <c r="H42" t="str">
        <f>IF(Raw_data!H46="",NA(),Raw_data!H46)</f>
        <v>Daniel Harris</v>
      </c>
      <c r="I42" t="str">
        <f>IF(Raw_data!I46="",NA(),Raw_data!I46)</f>
        <v>New York</v>
      </c>
      <c r="J42" t="str">
        <f>IF(Raw_data!J46="",NA(),Raw_data!J46)</f>
        <v>Credit Card</v>
      </c>
      <c r="K42" t="str">
        <f>IF(Raw_data!K46="",NA(),Raw_data!K46)</f>
        <v>Pending</v>
      </c>
      <c r="L42">
        <f t="shared" si="0"/>
        <v>1</v>
      </c>
      <c r="M42" t="str">
        <f t="shared" si="1"/>
        <v>15-03-25</v>
      </c>
      <c r="N42" t="str">
        <f>LEFT(Table2[[#This Row],[Date_text]],2)</f>
        <v>15</v>
      </c>
      <c r="O42" s="32" t="str">
        <f>MID(Table2[[#This Row],[Date_text]],4,2)</f>
        <v>03</v>
      </c>
      <c r="P42" t="str">
        <f>RIGHT(Table2[[#This Row],[Date_text]],2)</f>
        <v>25</v>
      </c>
    </row>
    <row r="43" spans="1:16" x14ac:dyDescent="0.25">
      <c r="A43" t="str">
        <f>IF(Raw_data!A47="",NA(),Raw_data!A47)</f>
        <v>ORD0046</v>
      </c>
      <c r="B43" s="1">
        <f>IF(Raw_data!B47="",NA(),Raw_data!B47)</f>
        <v>45811</v>
      </c>
      <c r="C43" t="str">
        <f>IF(Raw_data!C47="",NA(),Raw_data!C47)</f>
        <v>Running Shoes</v>
      </c>
      <c r="D43" t="str">
        <f>IF(Raw_data!D47="",NA(),Raw_data!D47)</f>
        <v>Footwear</v>
      </c>
      <c r="E43">
        <f>IF(Raw_data!E47="",NA(),Raw_data!E47)</f>
        <v>60</v>
      </c>
      <c r="F43">
        <f>IF(Raw_data!F47="",NA(),Raw_data!F47)</f>
        <v>2</v>
      </c>
      <c r="G43">
        <f>IF(Raw_data!G47="",NA(),Raw_data!G47)</f>
        <v>120</v>
      </c>
      <c r="H43" t="str">
        <f>IF(Raw_data!H47="",NA(),Raw_data!H47)</f>
        <v>David Lee</v>
      </c>
      <c r="I43" t="str">
        <f>IF(Raw_data!I47="",NA(),Raw_data!I47)</f>
        <v>Houston</v>
      </c>
      <c r="J43" t="str">
        <f>IF(Raw_data!J47="",NA(),Raw_data!J47)</f>
        <v>Debit Card</v>
      </c>
      <c r="K43" t="str">
        <f>IF(Raw_data!K47="",NA(),Raw_data!K47)</f>
        <v>Cancelled</v>
      </c>
      <c r="L43">
        <f t="shared" si="0"/>
        <v>1</v>
      </c>
      <c r="M43" t="str">
        <f t="shared" si="1"/>
        <v>03-06-25</v>
      </c>
      <c r="N43" t="str">
        <f>LEFT(Table2[[#This Row],[Date_text]],2)</f>
        <v>03</v>
      </c>
      <c r="O43" s="32" t="str">
        <f>MID(Table2[[#This Row],[Date_text]],4,2)</f>
        <v>06</v>
      </c>
      <c r="P43" t="str">
        <f>RIGHT(Table2[[#This Row],[Date_text]],2)</f>
        <v>25</v>
      </c>
    </row>
    <row r="44" spans="1:16" x14ac:dyDescent="0.25">
      <c r="A44" t="str">
        <f>IF(Raw_data!A48="",NA(),Raw_data!A48)</f>
        <v>ORD0047</v>
      </c>
      <c r="B44" s="1" t="str">
        <f>IF(Raw_data!B48="",NA(),Raw_data!B48)</f>
        <v>26-03-25</v>
      </c>
      <c r="C44" t="str">
        <f>IF(Raw_data!C48="",NA(),Raw_data!C48)</f>
        <v>T-Shirt</v>
      </c>
      <c r="D44" t="str">
        <f>IF(Raw_data!D48="",NA(),Raw_data!D48)</f>
        <v>Clothing</v>
      </c>
      <c r="E44">
        <f>IF(Raw_data!E48="",NA(),Raw_data!E48)</f>
        <v>20</v>
      </c>
      <c r="F44">
        <f>IF(Raw_data!F48="",NA(),Raw_data!F48)</f>
        <v>2</v>
      </c>
      <c r="G44">
        <f>IF(Raw_data!G48="",NA(),Raw_data!G48)</f>
        <v>40</v>
      </c>
      <c r="H44" t="str">
        <f>IF(Raw_data!H48="",NA(),Raw_data!H48)</f>
        <v>Chris White</v>
      </c>
      <c r="I44" t="str">
        <f>IF(Raw_data!I48="",NA(),Raw_data!I48)</f>
        <v>Miami</v>
      </c>
      <c r="J44" t="str">
        <f>IF(Raw_data!J48="",NA(),Raw_data!J48)</f>
        <v>Gift Card</v>
      </c>
      <c r="K44" t="str">
        <f>IF(Raw_data!K48="",NA(),Raw_data!K48)</f>
        <v>Cancelled</v>
      </c>
      <c r="L44">
        <f t="shared" si="0"/>
        <v>1</v>
      </c>
      <c r="M44" t="str">
        <f t="shared" si="1"/>
        <v>26-03-25</v>
      </c>
      <c r="N44" t="str">
        <f>LEFT(Table2[[#This Row],[Date_text]],2)</f>
        <v>26</v>
      </c>
      <c r="O44" s="32" t="str">
        <f>MID(Table2[[#This Row],[Date_text]],4,2)</f>
        <v>03</v>
      </c>
      <c r="P44" t="str">
        <f>RIGHT(Table2[[#This Row],[Date_text]],2)</f>
        <v>25</v>
      </c>
    </row>
    <row r="45" spans="1:16" x14ac:dyDescent="0.25">
      <c r="A45" t="str">
        <f>IF(Raw_data!A49="",NA(),Raw_data!A49)</f>
        <v>ORD0048</v>
      </c>
      <c r="B45" s="1">
        <f>IF(Raw_data!B49="",NA(),Raw_data!B49)</f>
        <v>45963</v>
      </c>
      <c r="C45" t="str">
        <f>IF(Raw_data!C49="",NA(),Raw_data!C49)</f>
        <v>T-Shirt</v>
      </c>
      <c r="D45" t="str">
        <f>IF(Raw_data!D49="",NA(),Raw_data!D49)</f>
        <v>Clothing</v>
      </c>
      <c r="E45">
        <f>IF(Raw_data!E49="",NA(),Raw_data!E49)</f>
        <v>20</v>
      </c>
      <c r="F45">
        <f>IF(Raw_data!F49="",NA(),Raw_data!F49)</f>
        <v>5</v>
      </c>
      <c r="G45">
        <f>IF(Raw_data!G49="",NA(),Raw_data!G49)</f>
        <v>100</v>
      </c>
      <c r="H45" t="str">
        <f>IF(Raw_data!H49="",NA(),Raw_data!H49)</f>
        <v>Jane Smith</v>
      </c>
      <c r="I45" t="str">
        <f>IF(Raw_data!I49="",NA(),Raw_data!I49)</f>
        <v>Denver</v>
      </c>
      <c r="J45" t="str">
        <f>IF(Raw_data!J49="",NA(),Raw_data!J49)</f>
        <v>Amazon Pay</v>
      </c>
      <c r="K45" t="str">
        <f>IF(Raw_data!K49="",NA(),Raw_data!K49)</f>
        <v>Completed</v>
      </c>
      <c r="L45">
        <f t="shared" si="0"/>
        <v>1</v>
      </c>
      <c r="M45" t="str">
        <f t="shared" si="1"/>
        <v>02-11-25</v>
      </c>
      <c r="N45" t="str">
        <f>LEFT(Table2[[#This Row],[Date_text]],2)</f>
        <v>02</v>
      </c>
      <c r="O45" s="32" t="str">
        <f>MID(Table2[[#This Row],[Date_text]],4,2)</f>
        <v>11</v>
      </c>
      <c r="P45" t="str">
        <f>RIGHT(Table2[[#This Row],[Date_text]],2)</f>
        <v>25</v>
      </c>
    </row>
    <row r="46" spans="1:16" x14ac:dyDescent="0.25">
      <c r="A46" t="str">
        <f>IF(Raw_data!A50="",NA(),Raw_data!A50)</f>
        <v>ORD0049</v>
      </c>
      <c r="B46" s="1" t="str">
        <f>IF(Raw_data!B50="",NA(),Raw_data!B50)</f>
        <v>18-02-25</v>
      </c>
      <c r="C46" t="str">
        <f>IF(Raw_data!C50="",NA(),Raw_data!C50)</f>
        <v>Smartphone</v>
      </c>
      <c r="D46" t="str">
        <f>IF(Raw_data!D50="",NA(),Raw_data!D50)</f>
        <v>Electronics</v>
      </c>
      <c r="E46">
        <v>150</v>
      </c>
      <c r="F46">
        <f>IF(Raw_data!F50="",NA(),Raw_data!F50)</f>
        <v>4</v>
      </c>
      <c r="G46">
        <f>IF(Raw_data!G50="",NA(),Raw_data!G50)</f>
        <v>2000</v>
      </c>
      <c r="H46" t="str">
        <f>IF(Raw_data!H50="",NA(),Raw_data!H50)</f>
        <v>Emma Clark</v>
      </c>
      <c r="I46" t="str">
        <f>IF(Raw_data!I50="",NA(),Raw_data!I50)</f>
        <v>Chicago</v>
      </c>
      <c r="J46" t="str">
        <f>IF(Raw_data!J50="",NA(),Raw_data!J50)</f>
        <v>Debit Card</v>
      </c>
      <c r="K46" t="str">
        <f>IF(Raw_data!K50="",NA(),Raw_data!K50)</f>
        <v>Completed</v>
      </c>
      <c r="L46">
        <f t="shared" si="0"/>
        <v>1</v>
      </c>
      <c r="M46" t="str">
        <f t="shared" si="1"/>
        <v>18-02-25</v>
      </c>
      <c r="N46" t="str">
        <f>LEFT(Table2[[#This Row],[Date_text]],2)</f>
        <v>18</v>
      </c>
      <c r="O46" s="32" t="str">
        <f>MID(Table2[[#This Row],[Date_text]],4,2)</f>
        <v>02</v>
      </c>
      <c r="P46" t="str">
        <f>RIGHT(Table2[[#This Row],[Date_text]],2)</f>
        <v>25</v>
      </c>
    </row>
    <row r="47" spans="1:16" x14ac:dyDescent="0.25">
      <c r="A47" t="str">
        <f>IF(Raw_data!A51="",NA(),Raw_data!A51)</f>
        <v>ORD0050</v>
      </c>
      <c r="B47" s="1" t="str">
        <f>IF(Raw_data!B51="",NA(),Raw_data!B51)</f>
        <v>14-03-25</v>
      </c>
      <c r="C47" t="str">
        <f>IF(Raw_data!C51="",NA(),Raw_data!C51)</f>
        <v>Jeans</v>
      </c>
      <c r="D47" t="str">
        <f>IF(Raw_data!D51="",NA(),Raw_data!D51)</f>
        <v>Clothing</v>
      </c>
      <c r="E47">
        <f>IF(Raw_data!E51="",NA(),Raw_data!E51)</f>
        <v>40</v>
      </c>
      <c r="F47">
        <f>IF(Raw_data!F51="",NA(),Raw_data!F51)</f>
        <v>3</v>
      </c>
      <c r="G47">
        <f>IF(Raw_data!G51="",NA(),Raw_data!G51)</f>
        <v>120</v>
      </c>
      <c r="H47" t="str">
        <f>IF(Raw_data!H51="",NA(),Raw_data!H51)</f>
        <v>John Doe</v>
      </c>
      <c r="I47" t="str">
        <f>IF(Raw_data!I51="",NA(),Raw_data!I51)</f>
        <v>Boston</v>
      </c>
      <c r="J47" t="str">
        <f>IF(Raw_data!J51="",NA(),Raw_data!J51)</f>
        <v>Gift Card</v>
      </c>
      <c r="K47" t="str">
        <f>IF(Raw_data!K51="",NA(),Raw_data!K51)</f>
        <v>Completed</v>
      </c>
      <c r="L47">
        <f t="shared" si="0"/>
        <v>1</v>
      </c>
      <c r="M47" t="str">
        <f t="shared" si="1"/>
        <v>14-03-25</v>
      </c>
      <c r="N47" t="str">
        <f>LEFT(Table2[[#This Row],[Date_text]],2)</f>
        <v>14</v>
      </c>
      <c r="O47" s="32" t="str">
        <f>MID(Table2[[#This Row],[Date_text]],4,2)</f>
        <v>03</v>
      </c>
      <c r="P47" t="str">
        <f>RIGHT(Table2[[#This Row],[Date_text]],2)</f>
        <v>25</v>
      </c>
    </row>
    <row r="48" spans="1:16" x14ac:dyDescent="0.25">
      <c r="A48" t="str">
        <f>IF(Raw_data!A52="",NA(),Raw_data!A52)</f>
        <v>ORD0051</v>
      </c>
      <c r="B48" s="1" t="str">
        <f>IF(Raw_data!B52="",NA(),Raw_data!B52)</f>
        <v>19-02-25</v>
      </c>
      <c r="C48" t="str">
        <f>IF(Raw_data!C52="",NA(),Raw_data!C52)</f>
        <v>Book</v>
      </c>
      <c r="D48" t="str">
        <f>IF(Raw_data!D52="",NA(),Raw_data!D52)</f>
        <v>Books</v>
      </c>
      <c r="E48">
        <f>IF(Raw_data!E52="",NA(),Raw_data!E52)</f>
        <v>15</v>
      </c>
      <c r="F48">
        <f>IF(Raw_data!F52="",NA(),Raw_data!F52)</f>
        <v>1</v>
      </c>
      <c r="G48">
        <f>IF(Raw_data!G52="",NA(),Raw_data!G52)</f>
        <v>15</v>
      </c>
      <c r="H48" t="str">
        <f>IF(Raw_data!H52="",NA(),Raw_data!H52)</f>
        <v>Emma Clark</v>
      </c>
      <c r="I48" t="str">
        <f>IF(Raw_data!I52="",NA(),Raw_data!I52)</f>
        <v>Houston</v>
      </c>
      <c r="J48" t="str">
        <f>IF(Raw_data!J52="",NA(),Raw_data!J52)</f>
        <v>Gift Card</v>
      </c>
      <c r="K48" t="str">
        <f>IF(Raw_data!K52="",NA(),Raw_data!K52)</f>
        <v>Cancelled</v>
      </c>
      <c r="L48">
        <f t="shared" si="0"/>
        <v>1</v>
      </c>
      <c r="M48" t="str">
        <f t="shared" si="1"/>
        <v>19-02-25</v>
      </c>
      <c r="N48" t="str">
        <f>LEFT(Table2[[#This Row],[Date_text]],2)</f>
        <v>19</v>
      </c>
      <c r="O48" s="32" t="str">
        <f>MID(Table2[[#This Row],[Date_text]],4,2)</f>
        <v>02</v>
      </c>
      <c r="P48" t="str">
        <f>RIGHT(Table2[[#This Row],[Date_text]],2)</f>
        <v>25</v>
      </c>
    </row>
    <row r="49" spans="1:16" x14ac:dyDescent="0.25">
      <c r="A49" t="str">
        <f>IF(Raw_data!A53="",NA(),Raw_data!A53)</f>
        <v>ORD0052</v>
      </c>
      <c r="B49" s="1" t="str">
        <f>IF(Raw_data!B53="",NA(),Raw_data!B53)</f>
        <v>24-02-25</v>
      </c>
      <c r="C49" t="str">
        <f>IF(Raw_data!C53="",NA(),Raw_data!C53)</f>
        <v>Laptop</v>
      </c>
      <c r="D49" t="str">
        <f>IF(Raw_data!D53="",NA(),Raw_data!D53)</f>
        <v>Electronics</v>
      </c>
      <c r="E49">
        <f>IF(Raw_data!E53="",NA(),Raw_data!E53)</f>
        <v>800</v>
      </c>
      <c r="F49">
        <f>IF(Raw_data!F53="",NA(),Raw_data!F53)</f>
        <v>3</v>
      </c>
      <c r="G49">
        <f>IF(Raw_data!G53="",NA(),Raw_data!G53)</f>
        <v>2400</v>
      </c>
      <c r="H49" t="str">
        <f>IF(Raw_data!H53="",NA(),Raw_data!H53)</f>
        <v>John Doe</v>
      </c>
      <c r="I49" t="str">
        <f>IF(Raw_data!I53="",NA(),Raw_data!I53)</f>
        <v>San Francisco</v>
      </c>
      <c r="J49" t="str">
        <f>IF(Raw_data!J53="",NA(),Raw_data!J53)</f>
        <v>Credit Card</v>
      </c>
      <c r="K49" t="str">
        <f>IF(Raw_data!K53="",NA(),Raw_data!K53)</f>
        <v>Pending</v>
      </c>
      <c r="L49">
        <f t="shared" si="0"/>
        <v>1</v>
      </c>
      <c r="M49" t="str">
        <f t="shared" si="1"/>
        <v>24-02-25</v>
      </c>
      <c r="N49" t="str">
        <f>LEFT(Table2[[#This Row],[Date_text]],2)</f>
        <v>24</v>
      </c>
      <c r="O49" s="32" t="str">
        <f>MID(Table2[[#This Row],[Date_text]],4,2)</f>
        <v>02</v>
      </c>
      <c r="P49" t="str">
        <f>RIGHT(Table2[[#This Row],[Date_text]],2)</f>
        <v>25</v>
      </c>
    </row>
    <row r="50" spans="1:16" x14ac:dyDescent="0.25">
      <c r="A50" t="str">
        <f>IF(Raw_data!A54="",NA(),Raw_data!A54)</f>
        <v>ORD0053</v>
      </c>
      <c r="B50" s="1" t="str">
        <f>IF(Raw_data!B54="",NA(),Raw_data!B54)</f>
        <v>24-03-25</v>
      </c>
      <c r="C50" t="str">
        <f>IF(Raw_data!C54="",NA(),Raw_data!C54)</f>
        <v>Running Shoes</v>
      </c>
      <c r="D50" t="str">
        <f>IF(Raw_data!D54="",NA(),Raw_data!D54)</f>
        <v>Footwear</v>
      </c>
      <c r="E50">
        <f>IF(Raw_data!E54="",NA(),Raw_data!E54)</f>
        <v>60</v>
      </c>
      <c r="F50">
        <f>IF(Raw_data!F54="",NA(),Raw_data!F54)</f>
        <v>4</v>
      </c>
      <c r="G50">
        <f>IF(Raw_data!G54="",NA(),Raw_data!G54)</f>
        <v>240</v>
      </c>
      <c r="H50" t="str">
        <f>IF(Raw_data!H54="",NA(),Raw_data!H54)</f>
        <v>Emily Johnson</v>
      </c>
      <c r="I50" t="str">
        <f>IF(Raw_data!I54="",NA(),Raw_data!I54)</f>
        <v>Los Angeles</v>
      </c>
      <c r="J50" t="str">
        <f>IF(Raw_data!J54="",NA(),Raw_data!J54)</f>
        <v>PayPal</v>
      </c>
      <c r="K50" t="str">
        <f>IF(Raw_data!K54="",NA(),Raw_data!K54)</f>
        <v>Completed</v>
      </c>
      <c r="L50">
        <f t="shared" si="0"/>
        <v>1</v>
      </c>
      <c r="M50" t="str">
        <f t="shared" si="1"/>
        <v>24-03-25</v>
      </c>
      <c r="N50" t="str">
        <f>LEFT(Table2[[#This Row],[Date_text]],2)</f>
        <v>24</v>
      </c>
      <c r="O50" s="32" t="str">
        <f>MID(Table2[[#This Row],[Date_text]],4,2)</f>
        <v>03</v>
      </c>
      <c r="P50" t="str">
        <f>RIGHT(Table2[[#This Row],[Date_text]],2)</f>
        <v>25</v>
      </c>
    </row>
    <row r="51" spans="1:16" x14ac:dyDescent="0.25">
      <c r="A51" t="str">
        <f>IF(Raw_data!A55="",NA(),Raw_data!A55)</f>
        <v>ORD0054</v>
      </c>
      <c r="B51" s="1" t="str">
        <f>IF(Raw_data!B55="",NA(),Raw_data!B55)</f>
        <v>15-03-25</v>
      </c>
      <c r="C51" t="str">
        <f>IF(Raw_data!C55="",NA(),Raw_data!C55)</f>
        <v>Smartwatch</v>
      </c>
      <c r="D51" t="str">
        <f>IF(Raw_data!D55="",NA(),Raw_data!D55)</f>
        <v>Electronics</v>
      </c>
      <c r="E51">
        <f>IF(Raw_data!E55="",NA(),Raw_data!E55)</f>
        <v>150</v>
      </c>
      <c r="F51">
        <f>IF(Raw_data!F55="",NA(),Raw_data!F55)</f>
        <v>3</v>
      </c>
      <c r="G51">
        <f>IF(Raw_data!G55="",NA(),Raw_data!G55)</f>
        <v>450</v>
      </c>
      <c r="H51" t="str">
        <f>IF(Raw_data!H55="",NA(),Raw_data!H55)</f>
        <v>David Lee</v>
      </c>
      <c r="I51" t="str">
        <f>IF(Raw_data!I55="",NA(),Raw_data!I55)</f>
        <v>Boston</v>
      </c>
      <c r="J51" t="str">
        <f>IF(Raw_data!J55="",NA(),Raw_data!J55)</f>
        <v>Gift Card</v>
      </c>
      <c r="K51" t="str">
        <f>IF(Raw_data!K55="",NA(),Raw_data!K55)</f>
        <v>Pending</v>
      </c>
      <c r="L51">
        <f t="shared" si="0"/>
        <v>1</v>
      </c>
      <c r="M51" t="str">
        <f t="shared" si="1"/>
        <v>15-03-25</v>
      </c>
      <c r="N51" t="str">
        <f>LEFT(Table2[[#This Row],[Date_text]],2)</f>
        <v>15</v>
      </c>
      <c r="O51" s="32" t="str">
        <f>MID(Table2[[#This Row],[Date_text]],4,2)</f>
        <v>03</v>
      </c>
      <c r="P51" t="str">
        <f>RIGHT(Table2[[#This Row],[Date_text]],2)</f>
        <v>25</v>
      </c>
    </row>
    <row r="52" spans="1:16" x14ac:dyDescent="0.25">
      <c r="A52" t="str">
        <f>IF(Raw_data!A56="",NA(),Raw_data!A56)</f>
        <v>ORD0055</v>
      </c>
      <c r="B52" s="1" t="str">
        <f>IF(Raw_data!B56="",NA(),Raw_data!B56)</f>
        <v>15-03-25</v>
      </c>
      <c r="C52" t="str">
        <f>IF(Raw_data!C56="",NA(),Raw_data!C56)</f>
        <v>Jeans</v>
      </c>
      <c r="D52" t="s">
        <v>22</v>
      </c>
      <c r="E52">
        <f>IF(Raw_data!E56="",NA(),Raw_data!E56)</f>
        <v>40</v>
      </c>
      <c r="F52">
        <f>IF(Raw_data!F56="",NA(),Raw_data!F56)</f>
        <v>2</v>
      </c>
      <c r="G52">
        <f>IF(Raw_data!G56="",NA(),Raw_data!G56)</f>
        <v>80</v>
      </c>
      <c r="H52" t="str">
        <f>IF(Raw_data!H56="",NA(),Raw_data!H56)</f>
        <v>Sophia Miller</v>
      </c>
      <c r="I52" t="str">
        <f>IF(Raw_data!I56="",NA(),Raw_data!I56)</f>
        <v>Dallas</v>
      </c>
      <c r="J52" t="str">
        <f>IF(Raw_data!J56="",NA(),Raw_data!J56)</f>
        <v>PayPal</v>
      </c>
      <c r="K52" t="str">
        <f>IF(Raw_data!K56="",NA(),Raw_data!K56)</f>
        <v>Completed</v>
      </c>
      <c r="L52">
        <f t="shared" si="0"/>
        <v>1</v>
      </c>
      <c r="M52" t="str">
        <f t="shared" si="1"/>
        <v>15-03-25</v>
      </c>
      <c r="N52" t="str">
        <f>LEFT(Table2[[#This Row],[Date_text]],2)</f>
        <v>15</v>
      </c>
      <c r="O52" s="32" t="str">
        <f>MID(Table2[[#This Row],[Date_text]],4,2)</f>
        <v>03</v>
      </c>
      <c r="P52" t="str">
        <f>RIGHT(Table2[[#This Row],[Date_text]],2)</f>
        <v>25</v>
      </c>
    </row>
    <row r="53" spans="1:16" x14ac:dyDescent="0.25">
      <c r="A53" t="str">
        <f>IF(Raw_data!A57="",NA(),Raw_data!A57)</f>
        <v>ORD0056</v>
      </c>
      <c r="B53" s="1" t="str">
        <f>IF(Raw_data!B57="",NA(),Raw_data!B57)</f>
        <v>19-03-25</v>
      </c>
      <c r="C53" t="str">
        <f>IF(Raw_data!C57="",NA(),Raw_data!C57)</f>
        <v>Smartwatch</v>
      </c>
      <c r="D53" t="str">
        <f>IF(Raw_data!D57="",NA(),Raw_data!D57)</f>
        <v>Electronics</v>
      </c>
      <c r="E53">
        <f>IF(Raw_data!E57="",NA(),Raw_data!E57)</f>
        <v>150</v>
      </c>
      <c r="F53">
        <f>IF(Raw_data!F57="",NA(),Raw_data!F57)</f>
        <v>2</v>
      </c>
      <c r="G53">
        <f>IF(Raw_data!G57="",NA(),Raw_data!G57)</f>
        <v>300</v>
      </c>
      <c r="H53" t="str">
        <f>IF(Raw_data!H57="",NA(),Raw_data!H57)</f>
        <v>Emma Clark</v>
      </c>
      <c r="I53" t="str">
        <f>IF(Raw_data!I57="",NA(),Raw_data!I57)</f>
        <v>Dallas</v>
      </c>
      <c r="J53" t="str">
        <f>IF(Raw_data!J57="",NA(),Raw_data!J57)</f>
        <v>Credit Card</v>
      </c>
      <c r="K53" t="str">
        <f>IF(Raw_data!K57="",NA(),Raw_data!K57)</f>
        <v>Completed</v>
      </c>
      <c r="L53">
        <f t="shared" si="0"/>
        <v>1</v>
      </c>
      <c r="M53" t="str">
        <f t="shared" si="1"/>
        <v>19-03-25</v>
      </c>
      <c r="N53" t="str">
        <f>LEFT(Table2[[#This Row],[Date_text]],2)</f>
        <v>19</v>
      </c>
      <c r="O53" s="32" t="str">
        <f>MID(Table2[[#This Row],[Date_text]],4,2)</f>
        <v>03</v>
      </c>
      <c r="P53" t="str">
        <f>RIGHT(Table2[[#This Row],[Date_text]],2)</f>
        <v>25</v>
      </c>
    </row>
    <row r="54" spans="1:16" x14ac:dyDescent="0.25">
      <c r="A54" t="str">
        <f>IF(Raw_data!A58="",NA(),Raw_data!A58)</f>
        <v>ORD0057</v>
      </c>
      <c r="B54" s="1" t="str">
        <f>IF(Raw_data!B58="",NA(),Raw_data!B58)</f>
        <v>15-03-25</v>
      </c>
      <c r="C54" t="str">
        <f>IF(Raw_data!C58="",NA(),Raw_data!C58)</f>
        <v>Smartphone</v>
      </c>
      <c r="D54" t="str">
        <f>IF(Raw_data!D58="",NA(),Raw_data!D58)</f>
        <v>Electronics</v>
      </c>
      <c r="E54">
        <f>IF(Raw_data!E58="",NA(),Raw_data!E58)</f>
        <v>500</v>
      </c>
      <c r="F54">
        <f>IF(Raw_data!F58="",NA(),Raw_data!F58)</f>
        <v>1</v>
      </c>
      <c r="G54">
        <f>IF(Raw_data!G58="",NA(),Raw_data!G58)</f>
        <v>500</v>
      </c>
      <c r="H54" t="str">
        <f>IF(Raw_data!H58="",NA(),Raw_data!H58)</f>
        <v>Jane Smith</v>
      </c>
      <c r="I54" t="str">
        <f>IF(Raw_data!I58="",NA(),Raw_data!I58)</f>
        <v>Los Angeles</v>
      </c>
      <c r="J54" t="str">
        <f>IF(Raw_data!J58="",NA(),Raw_data!J58)</f>
        <v>Debit Card</v>
      </c>
      <c r="K54" t="str">
        <f>IF(Raw_data!K58="",NA(),Raw_data!K58)</f>
        <v>Cancelled</v>
      </c>
      <c r="L54">
        <f t="shared" si="0"/>
        <v>1</v>
      </c>
      <c r="M54" t="str">
        <f t="shared" si="1"/>
        <v>15-03-25</v>
      </c>
      <c r="N54" t="str">
        <f>LEFT(Table2[[#This Row],[Date_text]],2)</f>
        <v>15</v>
      </c>
      <c r="O54" s="32" t="str">
        <f>MID(Table2[[#This Row],[Date_text]],4,2)</f>
        <v>03</v>
      </c>
      <c r="P54" t="str">
        <f>RIGHT(Table2[[#This Row],[Date_text]],2)</f>
        <v>25</v>
      </c>
    </row>
    <row r="55" spans="1:16" x14ac:dyDescent="0.25">
      <c r="A55" t="str">
        <f>IF(Raw_data!A60="",NA(),Raw_data!A60)</f>
        <v>ORD0059</v>
      </c>
      <c r="B55" s="1">
        <f>IF(Raw_data!B60="",NA(),Raw_data!B60)</f>
        <v>45661</v>
      </c>
      <c r="C55" t="str">
        <f>IF(Raw_data!C60="",NA(),Raw_data!C60)</f>
        <v>Smartwatch</v>
      </c>
      <c r="D55" t="str">
        <f>IF(Raw_data!D60="",NA(),Raw_data!D60)</f>
        <v>Electronics</v>
      </c>
      <c r="E55">
        <f>IF(Raw_data!E60="",NA(),Raw_data!E60)</f>
        <v>150</v>
      </c>
      <c r="F55">
        <f>IF(Raw_data!F60="",NA(),Raw_data!F60)</f>
        <v>2</v>
      </c>
      <c r="G55">
        <f>IF(Raw_data!G60="",NA(),Raw_data!G60)</f>
        <v>300</v>
      </c>
      <c r="H55" t="str">
        <f>IF(Raw_data!H60="",NA(),Raw_data!H60)</f>
        <v>Daniel Harris</v>
      </c>
      <c r="I55" t="str">
        <f>IF(Raw_data!I60="",NA(),Raw_data!I60)</f>
        <v>Dallas</v>
      </c>
      <c r="J55" t="str">
        <f>IF(Raw_data!J60="",NA(),Raw_data!J60)</f>
        <v>Credit Card</v>
      </c>
      <c r="K55" t="str">
        <f>IF(Raw_data!K60="",NA(),Raw_data!K60)</f>
        <v>Cancelled</v>
      </c>
      <c r="L55">
        <f t="shared" si="0"/>
        <v>1</v>
      </c>
      <c r="M55" t="str">
        <f t="shared" si="1"/>
        <v>04-01-25</v>
      </c>
      <c r="N55" t="str">
        <f>LEFT(Table2[[#This Row],[Date_text]],2)</f>
        <v>04</v>
      </c>
      <c r="O55" s="32" t="str">
        <f>MID(Table2[[#This Row],[Date_text]],4,2)</f>
        <v>01</v>
      </c>
      <c r="P55" t="str">
        <f>RIGHT(Table2[[#This Row],[Date_text]],2)</f>
        <v>25</v>
      </c>
    </row>
    <row r="56" spans="1:16" x14ac:dyDescent="0.25">
      <c r="A56" t="str">
        <f>IF(Raw_data!A61="",NA(),Raw_data!A61)</f>
        <v>ORD0060</v>
      </c>
      <c r="B56" s="1">
        <f>IF(Raw_data!B61="",NA(),Raw_data!B61)</f>
        <v>45994</v>
      </c>
      <c r="C56" t="str">
        <f>IF(Raw_data!C61="",NA(),Raw_data!C61)</f>
        <v>Book</v>
      </c>
      <c r="D56" t="str">
        <f>IF(Raw_data!D61="",NA(),Raw_data!D61)</f>
        <v>Books</v>
      </c>
      <c r="E56">
        <f>IF(Raw_data!E61="",NA(),Raw_data!E61)</f>
        <v>15</v>
      </c>
      <c r="F56">
        <f>IF(Raw_data!F61="",NA(),Raw_data!F61)</f>
        <v>5</v>
      </c>
      <c r="G56">
        <f>IF(Raw_data!G61="",NA(),Raw_data!G61)</f>
        <v>75</v>
      </c>
      <c r="H56" t="str">
        <f>IF(Raw_data!H61="",NA(),Raw_data!H61)</f>
        <v>Jane Smith</v>
      </c>
      <c r="I56" t="str">
        <f>IF(Raw_data!I61="",NA(),Raw_data!I61)</f>
        <v>Dallas</v>
      </c>
      <c r="J56" t="str">
        <f>IF(Raw_data!J61="",NA(),Raw_data!J61)</f>
        <v>Credit Card</v>
      </c>
      <c r="K56" t="str">
        <f>IF(Raw_data!K61="",NA(),Raw_data!K61)</f>
        <v>Pending</v>
      </c>
      <c r="L56">
        <f t="shared" si="0"/>
        <v>1</v>
      </c>
      <c r="M56" t="str">
        <f t="shared" si="1"/>
        <v>03-12-25</v>
      </c>
      <c r="N56" t="str">
        <f>LEFT(Table2[[#This Row],[Date_text]],2)</f>
        <v>03</v>
      </c>
      <c r="O56" s="32" t="str">
        <f>MID(Table2[[#This Row],[Date_text]],4,2)</f>
        <v>12</v>
      </c>
      <c r="P56" t="str">
        <f>RIGHT(Table2[[#This Row],[Date_text]],2)</f>
        <v>25</v>
      </c>
    </row>
    <row r="57" spans="1:16" x14ac:dyDescent="0.25">
      <c r="A57" t="str">
        <f>IF(Raw_data!A62="",NA(),Raw_data!A62)</f>
        <v>ORD0061</v>
      </c>
      <c r="B57" s="1">
        <f>IF(Raw_data!B62="",NA(),Raw_data!B62)</f>
        <v>45964</v>
      </c>
      <c r="C57" t="str">
        <f>IF(Raw_data!C62="",NA(),Raw_data!C62)</f>
        <v>Refrigerator</v>
      </c>
      <c r="D57" t="str">
        <f>IF(Raw_data!D62="",NA(),Raw_data!D62)</f>
        <v>Home Appliances</v>
      </c>
      <c r="E57">
        <v>150</v>
      </c>
      <c r="F57">
        <v>3</v>
      </c>
      <c r="G57">
        <f>IF(Raw_data!G62="",NA(),Raw_data!G62)</f>
        <v>1200</v>
      </c>
      <c r="H57" t="str">
        <f>IF(Raw_data!H62="",NA(),Raw_data!H62)</f>
        <v>Jane Smith</v>
      </c>
      <c r="I57" t="str">
        <f>IF(Raw_data!I62="",NA(),Raw_data!I62)</f>
        <v>New York</v>
      </c>
      <c r="J57" t="str">
        <f>IF(Raw_data!J62="",NA(),Raw_data!J62)</f>
        <v>PayPal</v>
      </c>
      <c r="K57" t="str">
        <f>IF(Raw_data!K62="",NA(),Raw_data!K62)</f>
        <v>Cancelled</v>
      </c>
      <c r="L57">
        <f t="shared" si="0"/>
        <v>1</v>
      </c>
      <c r="M57" t="str">
        <f t="shared" si="1"/>
        <v>03-11-25</v>
      </c>
      <c r="N57" t="str">
        <f>LEFT(Table2[[#This Row],[Date_text]],2)</f>
        <v>03</v>
      </c>
      <c r="O57" s="32" t="str">
        <f>MID(Table2[[#This Row],[Date_text]],4,2)</f>
        <v>11</v>
      </c>
      <c r="P57" t="str">
        <f>RIGHT(Table2[[#This Row],[Date_text]],2)</f>
        <v>25</v>
      </c>
    </row>
    <row r="58" spans="1:16" x14ac:dyDescent="0.25">
      <c r="A58" t="str">
        <f>IF(Raw_data!A63="",NA(),Raw_data!A63)</f>
        <v>ORD0062</v>
      </c>
      <c r="B58" s="1">
        <f>IF(Raw_data!B63="",NA(),Raw_data!B63)</f>
        <v>45932</v>
      </c>
      <c r="C58" t="str">
        <f>IF(Raw_data!C63="",NA(),Raw_data!C63)</f>
        <v>Laptop</v>
      </c>
      <c r="D58" t="str">
        <f>IF(Raw_data!D63="",NA(),Raw_data!D63)</f>
        <v>Electronics</v>
      </c>
      <c r="E58">
        <f>IF(Raw_data!E63="",NA(),Raw_data!E63)</f>
        <v>800</v>
      </c>
      <c r="F58">
        <f>IF(Raw_data!F63="",NA(),Raw_data!F63)</f>
        <v>5</v>
      </c>
      <c r="G58">
        <f>IF(Raw_data!G63="",NA(),Raw_data!G63)</f>
        <v>4000</v>
      </c>
      <c r="H58" t="str">
        <f>IF(Raw_data!H63="",NA(),Raw_data!H63)</f>
        <v>Olivia Wilson</v>
      </c>
      <c r="I58" t="str">
        <f>IF(Raw_data!I63="",NA(),Raw_data!I63)</f>
        <v>San Francisco</v>
      </c>
      <c r="J58" t="str">
        <f>IF(Raw_data!J63="",NA(),Raw_data!J63)</f>
        <v>PayPal</v>
      </c>
      <c r="K58" t="str">
        <f>IF(Raw_data!K63="",NA(),Raw_data!K63)</f>
        <v>Completed</v>
      </c>
      <c r="L58">
        <f t="shared" si="0"/>
        <v>1</v>
      </c>
      <c r="M58" t="str">
        <f t="shared" si="1"/>
        <v>02-10-25</v>
      </c>
      <c r="N58" t="str">
        <f>LEFT(Table2[[#This Row],[Date_text]],2)</f>
        <v>02</v>
      </c>
      <c r="O58" s="32" t="str">
        <f>MID(Table2[[#This Row],[Date_text]],4,2)</f>
        <v>10</v>
      </c>
      <c r="P58" t="str">
        <f>RIGHT(Table2[[#This Row],[Date_text]],2)</f>
        <v>25</v>
      </c>
    </row>
    <row r="59" spans="1:16" x14ac:dyDescent="0.25">
      <c r="A59" t="str">
        <f>IF(Raw_data!A64="",NA(),Raw_data!A64)</f>
        <v>ORD0063</v>
      </c>
      <c r="B59" s="1" t="str">
        <f>IF(Raw_data!B64="",NA(),Raw_data!B64)</f>
        <v>30-03-25</v>
      </c>
      <c r="C59" t="str">
        <f>IF(Raw_data!C64="",NA(),Raw_data!C64)</f>
        <v>Smartphone</v>
      </c>
      <c r="D59" t="str">
        <f>IF(Raw_data!D64="",NA(),Raw_data!D64)</f>
        <v>Electronics</v>
      </c>
      <c r="E59">
        <f>IF(Raw_data!E64="",NA(),Raw_data!E64)</f>
        <v>500</v>
      </c>
      <c r="F59">
        <f>IF(Raw_data!F64="",NA(),Raw_data!F64)</f>
        <v>5</v>
      </c>
      <c r="G59">
        <f>IF(Raw_data!G64="",NA(),Raw_data!G64)</f>
        <v>2500</v>
      </c>
      <c r="H59" t="str">
        <f>IF(Raw_data!H64="",NA(),Raw_data!H64)</f>
        <v>Emma Clark</v>
      </c>
      <c r="I59" t="str">
        <f>IF(Raw_data!I64="",NA(),Raw_data!I64)</f>
        <v>Miami</v>
      </c>
      <c r="J59" t="str">
        <f>IF(Raw_data!J64="",NA(),Raw_data!J64)</f>
        <v>Gift Card</v>
      </c>
      <c r="K59" t="str">
        <f>IF(Raw_data!K64="",NA(),Raw_data!K64)</f>
        <v>Completed</v>
      </c>
      <c r="L59">
        <f t="shared" si="0"/>
        <v>1</v>
      </c>
      <c r="M59" t="str">
        <f t="shared" si="1"/>
        <v>30-03-25</v>
      </c>
      <c r="N59" t="str">
        <f>LEFT(Table2[[#This Row],[Date_text]],2)</f>
        <v>30</v>
      </c>
      <c r="O59" s="32" t="str">
        <f>MID(Table2[[#This Row],[Date_text]],4,2)</f>
        <v>03</v>
      </c>
      <c r="P59" t="str">
        <f>RIGHT(Table2[[#This Row],[Date_text]],2)</f>
        <v>25</v>
      </c>
    </row>
    <row r="60" spans="1:16" x14ac:dyDescent="0.25">
      <c r="A60" t="str">
        <f>IF(Raw_data!A65="",NA(),Raw_data!A65)</f>
        <v>ORD0064</v>
      </c>
      <c r="B60" s="1" t="str">
        <f>IF(Raw_data!B65="",NA(),Raw_data!B65)</f>
        <v>13-02-25</v>
      </c>
      <c r="C60" t="str">
        <f>IF(Raw_data!C65="",NA(),Raw_data!C65)</f>
        <v>Refrigerator</v>
      </c>
      <c r="D60" t="s">
        <v>22</v>
      </c>
      <c r="E60">
        <f>IF(Raw_data!E65="",NA(),Raw_data!E65)</f>
        <v>1200</v>
      </c>
      <c r="F60">
        <f>IF(Raw_data!F65="",NA(),Raw_data!F65)</f>
        <v>4</v>
      </c>
      <c r="G60">
        <f>IF(Raw_data!G65="",NA(),Raw_data!G65)</f>
        <v>4800</v>
      </c>
      <c r="H60" t="str">
        <f>IF(Raw_data!H65="",NA(),Raw_data!H65)</f>
        <v>Emily Johnson</v>
      </c>
      <c r="I60" t="str">
        <f>IF(Raw_data!I65="",NA(),Raw_data!I65)</f>
        <v>Denver</v>
      </c>
      <c r="J60" t="str">
        <f>IF(Raw_data!J65="",NA(),Raw_data!J65)</f>
        <v>PayPal</v>
      </c>
      <c r="K60" t="str">
        <f>IF(Raw_data!K65="",NA(),Raw_data!K65)</f>
        <v>Pending</v>
      </c>
      <c r="L60">
        <f t="shared" si="0"/>
        <v>1</v>
      </c>
      <c r="M60" t="str">
        <f t="shared" si="1"/>
        <v>13-02-25</v>
      </c>
      <c r="N60" t="str">
        <f>LEFT(Table2[[#This Row],[Date_text]],2)</f>
        <v>13</v>
      </c>
      <c r="O60" s="32" t="str">
        <f>MID(Table2[[#This Row],[Date_text]],4,2)</f>
        <v>02</v>
      </c>
      <c r="P60" t="str">
        <f>RIGHT(Table2[[#This Row],[Date_text]],2)</f>
        <v>25</v>
      </c>
    </row>
    <row r="61" spans="1:16" x14ac:dyDescent="0.25">
      <c r="A61" t="str">
        <f>IF(Raw_data!A66="",NA(),Raw_data!A66)</f>
        <v>ORD0065</v>
      </c>
      <c r="B61" s="1" t="str">
        <f>IF(Raw_data!B66="",NA(),Raw_data!B66)</f>
        <v>16-03-25</v>
      </c>
      <c r="C61" t="str">
        <f>IF(Raw_data!C66="",NA(),Raw_data!C66)</f>
        <v>Book</v>
      </c>
      <c r="D61" t="str">
        <f>IF(Raw_data!D66="",NA(),Raw_data!D66)</f>
        <v>Books</v>
      </c>
      <c r="E61">
        <f>IF(Raw_data!E66="",NA(),Raw_data!E66)</f>
        <v>15</v>
      </c>
      <c r="F61">
        <f>IF(Raw_data!F66="",NA(),Raw_data!F66)</f>
        <v>3</v>
      </c>
      <c r="G61">
        <f>IF(Raw_data!G66="",NA(),Raw_data!G66)</f>
        <v>45</v>
      </c>
      <c r="H61" t="str">
        <f>IF(Raw_data!H66="",NA(),Raw_data!H66)</f>
        <v>Emma Clark</v>
      </c>
      <c r="I61" t="str">
        <f>IF(Raw_data!I66="",NA(),Raw_data!I66)</f>
        <v>San Francisco</v>
      </c>
      <c r="J61" t="str">
        <f>IF(Raw_data!J66="",NA(),Raw_data!J66)</f>
        <v>Amazon Pay</v>
      </c>
      <c r="K61" t="str">
        <f>IF(Raw_data!K66="",NA(),Raw_data!K66)</f>
        <v>Pending</v>
      </c>
      <c r="L61">
        <f t="shared" si="0"/>
        <v>1</v>
      </c>
      <c r="M61" t="str">
        <f t="shared" si="1"/>
        <v>16-03-25</v>
      </c>
      <c r="N61" t="str">
        <f>LEFT(Table2[[#This Row],[Date_text]],2)</f>
        <v>16</v>
      </c>
      <c r="O61" s="32" t="str">
        <f>MID(Table2[[#This Row],[Date_text]],4,2)</f>
        <v>03</v>
      </c>
      <c r="P61" t="str">
        <f>RIGHT(Table2[[#This Row],[Date_text]],2)</f>
        <v>25</v>
      </c>
    </row>
    <row r="62" spans="1:16" x14ac:dyDescent="0.25">
      <c r="A62" t="str">
        <f>IF(Raw_data!A67="",NA(),Raw_data!A67)</f>
        <v>ORD0066</v>
      </c>
      <c r="B62" s="1" t="str">
        <f>IF(Raw_data!B67="",NA(),Raw_data!B67)</f>
        <v>14-03-25</v>
      </c>
      <c r="C62" t="str">
        <f>IF(Raw_data!C67="",NA(),Raw_data!C67)</f>
        <v>Smartwatch</v>
      </c>
      <c r="D62" t="str">
        <f>IF(Raw_data!D67="",NA(),Raw_data!D67)</f>
        <v>Electronics</v>
      </c>
      <c r="E62">
        <f>IF(Raw_data!E67="",NA(),Raw_data!E67)</f>
        <v>150</v>
      </c>
      <c r="F62">
        <f>IF(Raw_data!F67="",NA(),Raw_data!F67)</f>
        <v>2</v>
      </c>
      <c r="G62">
        <f>IF(Raw_data!G67="",NA(),Raw_data!G67)</f>
        <v>300</v>
      </c>
      <c r="H62" t="str">
        <f>IF(Raw_data!H67="",NA(),Raw_data!H67)</f>
        <v>Michael Brown</v>
      </c>
      <c r="I62" t="str">
        <f>IF(Raw_data!I67="",NA(),Raw_data!I67)</f>
        <v>Denver</v>
      </c>
      <c r="J62" t="str">
        <f>IF(Raw_data!J67="",NA(),Raw_data!J67)</f>
        <v>PayPal</v>
      </c>
      <c r="K62" t="str">
        <f>IF(Raw_data!K67="",NA(),Raw_data!K67)</f>
        <v>Pending</v>
      </c>
      <c r="L62">
        <f t="shared" si="0"/>
        <v>1</v>
      </c>
      <c r="M62" t="str">
        <f t="shared" si="1"/>
        <v>14-03-25</v>
      </c>
      <c r="N62" t="str">
        <f>LEFT(Table2[[#This Row],[Date_text]],2)</f>
        <v>14</v>
      </c>
      <c r="O62" s="32" t="str">
        <f>MID(Table2[[#This Row],[Date_text]],4,2)</f>
        <v>03</v>
      </c>
      <c r="P62" t="str">
        <f>RIGHT(Table2[[#This Row],[Date_text]],2)</f>
        <v>25</v>
      </c>
    </row>
    <row r="63" spans="1:16" x14ac:dyDescent="0.25">
      <c r="A63" t="str">
        <f>IF(Raw_data!A68="",NA(),Raw_data!A68)</f>
        <v>ORD0067</v>
      </c>
      <c r="B63" s="1" t="str">
        <f>IF(Raw_data!B68="",NA(),Raw_data!B68)</f>
        <v>31-03-25</v>
      </c>
      <c r="C63" t="str">
        <f>IF(Raw_data!C68="",NA(),Raw_data!C68)</f>
        <v>Headphones</v>
      </c>
      <c r="D63" t="str">
        <f>IF(Raw_data!D68="",NA(),Raw_data!D68)</f>
        <v>Electronics</v>
      </c>
      <c r="E63">
        <f>IF(Raw_data!E68="",NA(),Raw_data!E68)</f>
        <v>100</v>
      </c>
      <c r="F63">
        <f>IF(Raw_data!F68="",NA(),Raw_data!F68)</f>
        <v>3</v>
      </c>
      <c r="G63">
        <f>IF(Raw_data!G68="",NA(),Raw_data!G68)</f>
        <v>300</v>
      </c>
      <c r="H63" t="str">
        <f>IF(Raw_data!H68="",NA(),Raw_data!H68)</f>
        <v>Chris White</v>
      </c>
      <c r="I63" t="str">
        <f>IF(Raw_data!I68="",NA(),Raw_data!I68)</f>
        <v>New York</v>
      </c>
      <c r="J63" t="str">
        <f>IF(Raw_data!J68="",NA(),Raw_data!J68)</f>
        <v>Debit Card</v>
      </c>
      <c r="K63" t="str">
        <f>IF(Raw_data!K68="",NA(),Raw_data!K68)</f>
        <v>Pending</v>
      </c>
      <c r="L63">
        <f t="shared" si="0"/>
        <v>1</v>
      </c>
      <c r="M63" t="str">
        <f t="shared" si="1"/>
        <v>31-03-25</v>
      </c>
      <c r="N63" t="str">
        <f>LEFT(Table2[[#This Row],[Date_text]],2)</f>
        <v>31</v>
      </c>
      <c r="O63" s="32" t="str">
        <f>MID(Table2[[#This Row],[Date_text]],4,2)</f>
        <v>03</v>
      </c>
      <c r="P63" t="str">
        <f>RIGHT(Table2[[#This Row],[Date_text]],2)</f>
        <v>25</v>
      </c>
    </row>
    <row r="64" spans="1:16" x14ac:dyDescent="0.25">
      <c r="A64" t="str">
        <f>IF(Raw_data!A69="",NA(),Raw_data!A69)</f>
        <v>ORD0068</v>
      </c>
      <c r="B64" s="1" t="str">
        <f>IF(Raw_data!B69="",NA(),Raw_data!B69)</f>
        <v>23-02-25</v>
      </c>
      <c r="C64" t="str">
        <f>IF(Raw_data!C69="",NA(),Raw_data!C69)</f>
        <v>Headphones</v>
      </c>
      <c r="D64" t="str">
        <f>IF(Raw_data!D69="",NA(),Raw_data!D69)</f>
        <v>Electronics</v>
      </c>
      <c r="E64">
        <f>IF(Raw_data!E69="",NA(),Raw_data!E69)</f>
        <v>100</v>
      </c>
      <c r="F64">
        <f>IF(Raw_data!F69="",NA(),Raw_data!F69)</f>
        <v>1</v>
      </c>
      <c r="G64">
        <f>IF(Raw_data!G69="",NA(),Raw_data!G69)</f>
        <v>100</v>
      </c>
      <c r="H64" t="str">
        <f>IF(Raw_data!H69="",NA(),Raw_data!H69)</f>
        <v>David Lee</v>
      </c>
      <c r="I64" t="str">
        <f>IF(Raw_data!I69="",NA(),Raw_data!I69)</f>
        <v>Houston</v>
      </c>
      <c r="J64" t="str">
        <f>IF(Raw_data!J69="",NA(),Raw_data!J69)</f>
        <v>Debit Card</v>
      </c>
      <c r="K64" t="str">
        <f>IF(Raw_data!K69="",NA(),Raw_data!K69)</f>
        <v>Cancelled</v>
      </c>
      <c r="L64">
        <f t="shared" si="0"/>
        <v>1</v>
      </c>
      <c r="M64" t="str">
        <f t="shared" si="1"/>
        <v>23-02-25</v>
      </c>
      <c r="N64" t="str">
        <f>LEFT(Table2[[#This Row],[Date_text]],2)</f>
        <v>23</v>
      </c>
      <c r="O64" s="32" t="str">
        <f>MID(Table2[[#This Row],[Date_text]],4,2)</f>
        <v>02</v>
      </c>
      <c r="P64" t="str">
        <f>RIGHT(Table2[[#This Row],[Date_text]],2)</f>
        <v>25</v>
      </c>
    </row>
    <row r="65" spans="1:16" x14ac:dyDescent="0.25">
      <c r="A65" t="str">
        <f>IF(Raw_data!A70="",NA(),Raw_data!A70)</f>
        <v>ORD0069</v>
      </c>
      <c r="B65" s="1" t="str">
        <f>IF(Raw_data!B70="",NA(),Raw_data!B70)</f>
        <v>25-02-25</v>
      </c>
      <c r="C65" t="str">
        <f>IF(Raw_data!C70="",NA(),Raw_data!C70)</f>
        <v>Refrigerator</v>
      </c>
      <c r="D65" t="str">
        <f>IF(Raw_data!D70="",NA(),Raw_data!D70)</f>
        <v>Home Appliances</v>
      </c>
      <c r="E65">
        <f>IF(Raw_data!E70="",NA(),Raw_data!E70)</f>
        <v>1200</v>
      </c>
      <c r="F65">
        <f>IF(Raw_data!F70="",NA(),Raw_data!F70)</f>
        <v>4</v>
      </c>
      <c r="G65">
        <f>IF(Raw_data!G70="",NA(),Raw_data!G70)</f>
        <v>4800</v>
      </c>
      <c r="H65" t="str">
        <f>IF(Raw_data!H70="",NA(),Raw_data!H70)</f>
        <v>David Lee</v>
      </c>
      <c r="I65" t="str">
        <f>IF(Raw_data!I70="",NA(),Raw_data!I70)</f>
        <v>Boston</v>
      </c>
      <c r="J65" t="str">
        <f>IF(Raw_data!J70="",NA(),Raw_data!J70)</f>
        <v>Gift Card</v>
      </c>
      <c r="K65" t="str">
        <f>IF(Raw_data!K70="",NA(),Raw_data!K70)</f>
        <v>Pending</v>
      </c>
      <c r="L65">
        <f t="shared" si="0"/>
        <v>1</v>
      </c>
      <c r="M65" t="str">
        <f t="shared" si="1"/>
        <v>25-02-25</v>
      </c>
      <c r="N65" t="str">
        <f>LEFT(Table2[[#This Row],[Date_text]],2)</f>
        <v>25</v>
      </c>
      <c r="O65" s="32" t="str">
        <f>MID(Table2[[#This Row],[Date_text]],4,2)</f>
        <v>02</v>
      </c>
      <c r="P65" t="str">
        <f>RIGHT(Table2[[#This Row],[Date_text]],2)</f>
        <v>25</v>
      </c>
    </row>
    <row r="66" spans="1:16" x14ac:dyDescent="0.25">
      <c r="A66" t="str">
        <f>IF(Raw_data!A71="",NA(),Raw_data!A71)</f>
        <v>ORD0070</v>
      </c>
      <c r="B66" s="1">
        <f>IF(Raw_data!B71="",NA(),Raw_data!B71)</f>
        <v>45933</v>
      </c>
      <c r="C66" t="str">
        <f>IF(Raw_data!C71="",NA(),Raw_data!C71)</f>
        <v>Book</v>
      </c>
      <c r="D66" t="str">
        <f>IF(Raw_data!D71="",NA(),Raw_data!D71)</f>
        <v>Books</v>
      </c>
      <c r="E66">
        <v>150</v>
      </c>
      <c r="F66">
        <f>IF(Raw_data!F71="",NA(),Raw_data!F71)</f>
        <v>1</v>
      </c>
      <c r="G66">
        <f>IF(Raw_data!G71="",NA(),Raw_data!G71)</f>
        <v>15</v>
      </c>
      <c r="H66" t="str">
        <f>IF(Raw_data!H71="",NA(),Raw_data!H71)</f>
        <v>Emily Johnson</v>
      </c>
      <c r="I66" t="str">
        <f>IF(Raw_data!I71="",NA(),Raw_data!I71)</f>
        <v>Boston</v>
      </c>
      <c r="J66" t="str">
        <f>IF(Raw_data!J71="",NA(),Raw_data!J71)</f>
        <v>Credit Card</v>
      </c>
      <c r="K66" t="str">
        <f>IF(Raw_data!K71="",NA(),Raw_data!K71)</f>
        <v>Completed</v>
      </c>
      <c r="L66">
        <f t="shared" ref="L66:L129" si="2">COUNTIFS(A:A,A66,B:B,B66,C:C,C66,D:D,D66,E:E,E66,F:F,F66,G:G,G66,H:H,H66,I:I,I66,J:J,J66,K:K,K66)</f>
        <v>1</v>
      </c>
      <c r="M66" t="str">
        <f t="shared" ref="M66:M129" si="3">TEXT(B66,"dd-mm-yy")</f>
        <v>03-10-25</v>
      </c>
      <c r="N66" t="str">
        <f>LEFT(Table2[[#This Row],[Date_text]],2)</f>
        <v>03</v>
      </c>
      <c r="O66" s="32" t="str">
        <f>MID(Table2[[#This Row],[Date_text]],4,2)</f>
        <v>10</v>
      </c>
      <c r="P66" t="str">
        <f>RIGHT(Table2[[#This Row],[Date_text]],2)</f>
        <v>25</v>
      </c>
    </row>
    <row r="67" spans="1:16" x14ac:dyDescent="0.25">
      <c r="A67" t="str">
        <f>IF(Raw_data!A72="",NA(),Raw_data!A72)</f>
        <v>ORD0071</v>
      </c>
      <c r="B67" s="1" t="str">
        <f>IF(Raw_data!B72="",NA(),Raw_data!B72)</f>
        <v>16-03-25</v>
      </c>
      <c r="C67" t="str">
        <f>IF(Raw_data!C72="",NA(),Raw_data!C72)</f>
        <v>Smartwatch</v>
      </c>
      <c r="D67" t="str">
        <f>IF(Raw_data!D72="",NA(),Raw_data!D72)</f>
        <v>Electronics</v>
      </c>
      <c r="E67">
        <f>IF(Raw_data!E72="",NA(),Raw_data!E72)</f>
        <v>150</v>
      </c>
      <c r="F67">
        <f>IF(Raw_data!F72="",NA(),Raw_data!F72)</f>
        <v>5</v>
      </c>
      <c r="G67">
        <f>IF(Raw_data!G72="",NA(),Raw_data!G72)</f>
        <v>750</v>
      </c>
      <c r="H67" t="str">
        <f>IF(Raw_data!H72="",NA(),Raw_data!H72)</f>
        <v>John Doe</v>
      </c>
      <c r="I67" t="str">
        <f>IF(Raw_data!I72="",NA(),Raw_data!I72)</f>
        <v>Denver</v>
      </c>
      <c r="J67" t="str">
        <f>IF(Raw_data!J72="",NA(),Raw_data!J72)</f>
        <v>Credit Card</v>
      </c>
      <c r="K67" t="str">
        <f>IF(Raw_data!K72="",NA(),Raw_data!K72)</f>
        <v>Pending</v>
      </c>
      <c r="L67">
        <f t="shared" si="2"/>
        <v>1</v>
      </c>
      <c r="M67" t="str">
        <f t="shared" si="3"/>
        <v>16-03-25</v>
      </c>
      <c r="N67" t="str">
        <f>LEFT(Table2[[#This Row],[Date_text]],2)</f>
        <v>16</v>
      </c>
      <c r="O67" s="32" t="str">
        <f>MID(Table2[[#This Row],[Date_text]],4,2)</f>
        <v>03</v>
      </c>
      <c r="P67" t="str">
        <f>RIGHT(Table2[[#This Row],[Date_text]],2)</f>
        <v>25</v>
      </c>
    </row>
    <row r="68" spans="1:16" x14ac:dyDescent="0.25">
      <c r="A68" t="str">
        <f>IF(Raw_data!A73="",NA(),Raw_data!A73)</f>
        <v>ORD0072</v>
      </c>
      <c r="B68" s="1">
        <f>IF(Raw_data!B73="",NA(),Raw_data!B73)</f>
        <v>45841</v>
      </c>
      <c r="C68" t="str">
        <f>IF(Raw_data!C73="",NA(),Raw_data!C73)</f>
        <v>Laptop</v>
      </c>
      <c r="D68" t="str">
        <f>IF(Raw_data!D73="",NA(),Raw_data!D73)</f>
        <v>Electronics</v>
      </c>
      <c r="E68">
        <f>IF(Raw_data!E73="",NA(),Raw_data!E73)</f>
        <v>800</v>
      </c>
      <c r="F68">
        <f>IF(Raw_data!F73="",NA(),Raw_data!F73)</f>
        <v>3</v>
      </c>
      <c r="G68">
        <f>IF(Raw_data!G73="",NA(),Raw_data!G73)</f>
        <v>2400</v>
      </c>
      <c r="H68" t="str">
        <f>IF(Raw_data!H73="",NA(),Raw_data!H73)</f>
        <v>Daniel Harris</v>
      </c>
      <c r="I68" t="str">
        <f>IF(Raw_data!I73="",NA(),Raw_data!I73)</f>
        <v>Houston</v>
      </c>
      <c r="J68" t="str">
        <f>IF(Raw_data!J73="",NA(),Raw_data!J73)</f>
        <v>Credit Card</v>
      </c>
      <c r="K68" t="str">
        <f>IF(Raw_data!K73="",NA(),Raw_data!K73)</f>
        <v>Pending</v>
      </c>
      <c r="L68">
        <f t="shared" si="2"/>
        <v>1</v>
      </c>
      <c r="M68" t="str">
        <f t="shared" si="3"/>
        <v>03-07-25</v>
      </c>
      <c r="N68" t="str">
        <f>LEFT(Table2[[#This Row],[Date_text]],2)</f>
        <v>03</v>
      </c>
      <c r="O68" s="32" t="str">
        <f>MID(Table2[[#This Row],[Date_text]],4,2)</f>
        <v>07</v>
      </c>
      <c r="P68" t="str">
        <f>RIGHT(Table2[[#This Row],[Date_text]],2)</f>
        <v>25</v>
      </c>
    </row>
    <row r="69" spans="1:16" x14ac:dyDescent="0.25">
      <c r="A69" t="str">
        <f>IF(Raw_data!A75="",NA(),Raw_data!A75)</f>
        <v>ORD0074</v>
      </c>
      <c r="B69" s="1" t="str">
        <f>IF(Raw_data!B75="",NA(),Raw_data!B75)</f>
        <v>25-03-25</v>
      </c>
      <c r="C69" t="str">
        <f>IF(Raw_data!C75="",NA(),Raw_data!C75)</f>
        <v>Refrigerator</v>
      </c>
      <c r="D69" t="str">
        <f>IF(Raw_data!D75="",NA(),Raw_data!D75)</f>
        <v>Home Appliances</v>
      </c>
      <c r="E69">
        <f>IF(Raw_data!E75="",NA(),Raw_data!E75)</f>
        <v>1200</v>
      </c>
      <c r="F69">
        <f>IF(Raw_data!F75="",NA(),Raw_data!F75)</f>
        <v>4</v>
      </c>
      <c r="G69">
        <f>IF(Raw_data!G75="",NA(),Raw_data!G75)</f>
        <v>4800</v>
      </c>
      <c r="H69" t="str">
        <f>IF(Raw_data!H75="",NA(),Raw_data!H75)</f>
        <v>Jane Smith</v>
      </c>
      <c r="I69" t="str">
        <f>IF(Raw_data!I75="",NA(),Raw_data!I75)</f>
        <v>Dallas</v>
      </c>
      <c r="J69" t="str">
        <f>IF(Raw_data!J75="",NA(),Raw_data!J75)</f>
        <v>Gift Card</v>
      </c>
      <c r="K69" t="str">
        <f>IF(Raw_data!K75="",NA(),Raw_data!K75)</f>
        <v>Cancelled</v>
      </c>
      <c r="L69">
        <f t="shared" si="2"/>
        <v>1</v>
      </c>
      <c r="M69" t="str">
        <f t="shared" si="3"/>
        <v>25-03-25</v>
      </c>
      <c r="N69" t="str">
        <f>LEFT(Table2[[#This Row],[Date_text]],2)</f>
        <v>25</v>
      </c>
      <c r="O69" s="32" t="str">
        <f>MID(Table2[[#This Row],[Date_text]],4,2)</f>
        <v>03</v>
      </c>
      <c r="P69" t="str">
        <f>RIGHT(Table2[[#This Row],[Date_text]],2)</f>
        <v>25</v>
      </c>
    </row>
    <row r="70" spans="1:16" x14ac:dyDescent="0.25">
      <c r="A70" t="str">
        <f>IF(Raw_data!A76="",NA(),Raw_data!A76)</f>
        <v>ORD0075</v>
      </c>
      <c r="B70" s="1" t="str">
        <f>IF(Raw_data!B76="",NA(),Raw_data!B76)</f>
        <v>26-02-25</v>
      </c>
      <c r="C70" t="str">
        <f>IF(Raw_data!C76="",NA(),Raw_data!C76)</f>
        <v>Headphones</v>
      </c>
      <c r="D70" t="str">
        <f>IF(Raw_data!D76="",NA(),Raw_data!D76)</f>
        <v>Electronics</v>
      </c>
      <c r="E70">
        <f>IF(Raw_data!E76="",NA(),Raw_data!E76)</f>
        <v>100</v>
      </c>
      <c r="F70">
        <f>IF(Raw_data!F76="",NA(),Raw_data!F76)</f>
        <v>2</v>
      </c>
      <c r="G70">
        <f>IF(Raw_data!G76="",NA(),Raw_data!G76)</f>
        <v>200</v>
      </c>
      <c r="H70" t="str">
        <f>IF(Raw_data!H76="",NA(),Raw_data!H76)</f>
        <v>Daniel Harris</v>
      </c>
      <c r="I70" t="str">
        <f>IF(Raw_data!I76="",NA(),Raw_data!I76)</f>
        <v>Boston</v>
      </c>
      <c r="J70" t="str">
        <f>IF(Raw_data!J76="",NA(),Raw_data!J76)</f>
        <v>PayPal</v>
      </c>
      <c r="K70" t="str">
        <f>IF(Raw_data!K76="",NA(),Raw_data!K76)</f>
        <v>Pending</v>
      </c>
      <c r="L70">
        <f t="shared" si="2"/>
        <v>1</v>
      </c>
      <c r="M70" t="str">
        <f t="shared" si="3"/>
        <v>26-02-25</v>
      </c>
      <c r="N70" t="str">
        <f>LEFT(Table2[[#This Row],[Date_text]],2)</f>
        <v>26</v>
      </c>
      <c r="O70" s="32" t="str">
        <f>MID(Table2[[#This Row],[Date_text]],4,2)</f>
        <v>02</v>
      </c>
      <c r="P70" t="str">
        <f>RIGHT(Table2[[#This Row],[Date_text]],2)</f>
        <v>25</v>
      </c>
    </row>
    <row r="71" spans="1:16" x14ac:dyDescent="0.25">
      <c r="A71" t="str">
        <f>IF(Raw_data!A77="",NA(),Raw_data!A77)</f>
        <v>ORD0076</v>
      </c>
      <c r="B71" s="1" t="str">
        <f>IF(Raw_data!B77="",NA(),Raw_data!B77)</f>
        <v>24-02-25</v>
      </c>
      <c r="C71" t="str">
        <f>IF(Raw_data!C77="",NA(),Raw_data!C77)</f>
        <v>Washing Machine</v>
      </c>
      <c r="D71" t="s">
        <v>22</v>
      </c>
      <c r="E71">
        <f>IF(Raw_data!E77="",NA(),Raw_data!E77)</f>
        <v>600</v>
      </c>
      <c r="F71">
        <f>IF(Raw_data!F77="",NA(),Raw_data!F77)</f>
        <v>1</v>
      </c>
      <c r="G71">
        <f>IF(Raw_data!G77="",NA(),Raw_data!G77)</f>
        <v>600</v>
      </c>
      <c r="H71" t="str">
        <f>IF(Raw_data!H77="",NA(),Raw_data!H77)</f>
        <v>Jane Smith</v>
      </c>
      <c r="I71" t="str">
        <f>IF(Raw_data!I77="",NA(),Raw_data!I77)</f>
        <v>Dallas</v>
      </c>
      <c r="J71" t="str">
        <f>IF(Raw_data!J77="",NA(),Raw_data!J77)</f>
        <v>Amazon Pay</v>
      </c>
      <c r="K71" t="str">
        <f>IF(Raw_data!K77="",NA(),Raw_data!K77)</f>
        <v>Completed</v>
      </c>
      <c r="L71">
        <f t="shared" si="2"/>
        <v>1</v>
      </c>
      <c r="M71" t="str">
        <f t="shared" si="3"/>
        <v>24-02-25</v>
      </c>
      <c r="N71" t="str">
        <f>LEFT(Table2[[#This Row],[Date_text]],2)</f>
        <v>24</v>
      </c>
      <c r="O71" s="32" t="str">
        <f>MID(Table2[[#This Row],[Date_text]],4,2)</f>
        <v>02</v>
      </c>
      <c r="P71" t="str">
        <f>RIGHT(Table2[[#This Row],[Date_text]],2)</f>
        <v>25</v>
      </c>
    </row>
    <row r="72" spans="1:16" x14ac:dyDescent="0.25">
      <c r="A72" t="str">
        <f>IF(Raw_data!A78="",NA(),Raw_data!A78)</f>
        <v>ORD0077</v>
      </c>
      <c r="B72" s="1" t="str">
        <f>IF(Raw_data!B78="",NA(),Raw_data!B78)</f>
        <v>20-03-25</v>
      </c>
      <c r="C72" t="str">
        <f>IF(Raw_data!C78="",NA(),Raw_data!C78)</f>
        <v>Headphones</v>
      </c>
      <c r="D72" t="str">
        <f>IF(Raw_data!D78="",NA(),Raw_data!D78)</f>
        <v>Electronics</v>
      </c>
      <c r="E72">
        <f>IF(Raw_data!E78="",NA(),Raw_data!E78)</f>
        <v>100</v>
      </c>
      <c r="F72">
        <f>IF(Raw_data!F78="",NA(),Raw_data!F78)</f>
        <v>2</v>
      </c>
      <c r="G72">
        <f>IF(Raw_data!G78="",NA(),Raw_data!G78)</f>
        <v>200</v>
      </c>
      <c r="H72" t="str">
        <f>IF(Raw_data!H78="",NA(),Raw_data!H78)</f>
        <v>Daniel Harris</v>
      </c>
      <c r="I72" t="str">
        <f>IF(Raw_data!I78="",NA(),Raw_data!I78)</f>
        <v>Houston</v>
      </c>
      <c r="J72" t="str">
        <f>IF(Raw_data!J78="",NA(),Raw_data!J78)</f>
        <v>Credit Card</v>
      </c>
      <c r="K72" t="str">
        <f>IF(Raw_data!K78="",NA(),Raw_data!K78)</f>
        <v>Completed</v>
      </c>
      <c r="L72">
        <f t="shared" si="2"/>
        <v>1</v>
      </c>
      <c r="M72" t="str">
        <f t="shared" si="3"/>
        <v>20-03-25</v>
      </c>
      <c r="N72" t="str">
        <f>LEFT(Table2[[#This Row],[Date_text]],2)</f>
        <v>20</v>
      </c>
      <c r="O72" s="32" t="str">
        <f>MID(Table2[[#This Row],[Date_text]],4,2)</f>
        <v>03</v>
      </c>
      <c r="P72" t="str">
        <f>RIGHT(Table2[[#This Row],[Date_text]],2)</f>
        <v>25</v>
      </c>
    </row>
    <row r="73" spans="1:16" x14ac:dyDescent="0.25">
      <c r="A73" t="str">
        <f>IF(Raw_data!A79="",NA(),Raw_data!A79)</f>
        <v>ORD0078</v>
      </c>
      <c r="B73" s="1" t="str">
        <f>IF(Raw_data!B79="",NA(),Raw_data!B79)</f>
        <v>18-03-25</v>
      </c>
      <c r="C73" t="str">
        <f>IF(Raw_data!C79="",NA(),Raw_data!C79)</f>
        <v>Smartwatch</v>
      </c>
      <c r="D73" t="str">
        <f>IF(Raw_data!D79="",NA(),Raw_data!D79)</f>
        <v>Electronics</v>
      </c>
      <c r="E73">
        <f>IF(Raw_data!E79="",NA(),Raw_data!E79)</f>
        <v>150</v>
      </c>
      <c r="F73">
        <f>IF(Raw_data!F79="",NA(),Raw_data!F79)</f>
        <v>2</v>
      </c>
      <c r="G73">
        <f>IF(Raw_data!G79="",NA(),Raw_data!G79)</f>
        <v>300</v>
      </c>
      <c r="H73" t="str">
        <f>IF(Raw_data!H79="",NA(),Raw_data!H79)</f>
        <v>Emma Clark</v>
      </c>
      <c r="I73" t="str">
        <f>IF(Raw_data!I79="",NA(),Raw_data!I79)</f>
        <v>Los Angeles</v>
      </c>
      <c r="J73" t="str">
        <f>IF(Raw_data!J79="",NA(),Raw_data!J79)</f>
        <v>Gift Card</v>
      </c>
      <c r="K73" t="str">
        <f>IF(Raw_data!K79="",NA(),Raw_data!K79)</f>
        <v>Cancelled</v>
      </c>
      <c r="L73">
        <f t="shared" si="2"/>
        <v>1</v>
      </c>
      <c r="M73" t="str">
        <f t="shared" si="3"/>
        <v>18-03-25</v>
      </c>
      <c r="N73" t="str">
        <f>LEFT(Table2[[#This Row],[Date_text]],2)</f>
        <v>18</v>
      </c>
      <c r="O73" s="32" t="str">
        <f>MID(Table2[[#This Row],[Date_text]],4,2)</f>
        <v>03</v>
      </c>
      <c r="P73" t="str">
        <f>RIGHT(Table2[[#This Row],[Date_text]],2)</f>
        <v>25</v>
      </c>
    </row>
    <row r="74" spans="1:16" x14ac:dyDescent="0.25">
      <c r="A74" t="str">
        <f>IF(Raw_data!A80="",NA(),Raw_data!A80)</f>
        <v>ORD0079</v>
      </c>
      <c r="B74" s="1">
        <f>IF(Raw_data!B80="",NA(),Raw_data!B80)</f>
        <v>45903</v>
      </c>
      <c r="C74" t="str">
        <f>IF(Raw_data!C80="",NA(),Raw_data!C80)</f>
        <v>Running Shoes</v>
      </c>
      <c r="D74" t="str">
        <f>IF(Raw_data!D80="",NA(),Raw_data!D80)</f>
        <v>Footwear</v>
      </c>
      <c r="E74">
        <f>IF(Raw_data!E80="",NA(),Raw_data!E80)</f>
        <v>60</v>
      </c>
      <c r="F74">
        <v>3</v>
      </c>
      <c r="G74">
        <f>IF(Raw_data!G80="",NA(),Raw_data!G80)</f>
        <v>120</v>
      </c>
      <c r="H74" t="str">
        <f>IF(Raw_data!H80="",NA(),Raw_data!H80)</f>
        <v>Emily Johnson</v>
      </c>
      <c r="I74" t="str">
        <f>IF(Raw_data!I80="",NA(),Raw_data!I80)</f>
        <v>Denver</v>
      </c>
      <c r="J74" t="str">
        <f>IF(Raw_data!J80="",NA(),Raw_data!J80)</f>
        <v>Gift Card</v>
      </c>
      <c r="K74" t="str">
        <f>IF(Raw_data!K80="",NA(),Raw_data!K80)</f>
        <v>Cancelled</v>
      </c>
      <c r="L74">
        <f t="shared" si="2"/>
        <v>1</v>
      </c>
      <c r="M74" t="str">
        <f t="shared" si="3"/>
        <v>03-09-25</v>
      </c>
      <c r="N74" t="str">
        <f>LEFT(Table2[[#This Row],[Date_text]],2)</f>
        <v>03</v>
      </c>
      <c r="O74" s="32" t="str">
        <f>MID(Table2[[#This Row],[Date_text]],4,2)</f>
        <v>09</v>
      </c>
      <c r="P74" t="str">
        <f>RIGHT(Table2[[#This Row],[Date_text]],2)</f>
        <v>25</v>
      </c>
    </row>
    <row r="75" spans="1:16" x14ac:dyDescent="0.25">
      <c r="A75" t="str">
        <f>IF(Raw_data!A81="",NA(),Raw_data!A81)</f>
        <v>ORD0080</v>
      </c>
      <c r="B75" s="1" t="str">
        <f>IF(Raw_data!B81="",NA(),Raw_data!B81)</f>
        <v>23-02-25</v>
      </c>
      <c r="C75" t="str">
        <f>IF(Raw_data!C81="",NA(),Raw_data!C81)</f>
        <v>Running Shoes</v>
      </c>
      <c r="D75" t="str">
        <f>IF(Raw_data!D81="",NA(),Raw_data!D81)</f>
        <v>Footwear</v>
      </c>
      <c r="E75">
        <f>IF(Raw_data!E81="",NA(),Raw_data!E81)</f>
        <v>60</v>
      </c>
      <c r="F75">
        <f>IF(Raw_data!F81="",NA(),Raw_data!F81)</f>
        <v>4</v>
      </c>
      <c r="G75">
        <f>IF(Raw_data!G81="",NA(),Raw_data!G81)</f>
        <v>240</v>
      </c>
      <c r="H75" t="str">
        <f>IF(Raw_data!H81="",NA(),Raw_data!H81)</f>
        <v>Sophia Miller</v>
      </c>
      <c r="I75" t="str">
        <f>IF(Raw_data!I81="",NA(),Raw_data!I81)</f>
        <v>San Francisco</v>
      </c>
      <c r="J75" t="str">
        <f>IF(Raw_data!J81="",NA(),Raw_data!J81)</f>
        <v>Debit Card</v>
      </c>
      <c r="K75" t="str">
        <f>IF(Raw_data!K81="",NA(),Raw_data!K81)</f>
        <v>Pending</v>
      </c>
      <c r="L75">
        <f t="shared" si="2"/>
        <v>1</v>
      </c>
      <c r="M75" t="str">
        <f t="shared" si="3"/>
        <v>23-02-25</v>
      </c>
      <c r="N75" t="str">
        <f>LEFT(Table2[[#This Row],[Date_text]],2)</f>
        <v>23</v>
      </c>
      <c r="O75" s="32" t="str">
        <f>MID(Table2[[#This Row],[Date_text]],4,2)</f>
        <v>02</v>
      </c>
      <c r="P75" t="str">
        <f>RIGHT(Table2[[#This Row],[Date_text]],2)</f>
        <v>25</v>
      </c>
    </row>
    <row r="76" spans="1:16" x14ac:dyDescent="0.25">
      <c r="A76" t="str">
        <f>IF(Raw_data!A82="",NA(),Raw_data!A82)</f>
        <v>ORD0081</v>
      </c>
      <c r="B76" s="1" t="str">
        <f>IF(Raw_data!B82="",NA(),Raw_data!B82)</f>
        <v>26-02-25</v>
      </c>
      <c r="C76" t="str">
        <f>IF(Raw_data!C82="",NA(),Raw_data!C82)</f>
        <v>Headphones</v>
      </c>
      <c r="D76" t="str">
        <f>IF(Raw_data!D82="",NA(),Raw_data!D82)</f>
        <v>Electronics</v>
      </c>
      <c r="E76">
        <f>IF(Raw_data!E82="",NA(),Raw_data!E82)</f>
        <v>100</v>
      </c>
      <c r="F76">
        <f>IF(Raw_data!F82="",NA(),Raw_data!F82)</f>
        <v>3</v>
      </c>
      <c r="G76">
        <f>IF(Raw_data!G82="",NA(),Raw_data!G82)</f>
        <v>300</v>
      </c>
      <c r="H76" t="str">
        <f>IF(Raw_data!H82="",NA(),Raw_data!H82)</f>
        <v>Michael Brown</v>
      </c>
      <c r="I76" t="str">
        <f>IF(Raw_data!I82="",NA(),Raw_data!I82)</f>
        <v>Chicago</v>
      </c>
      <c r="J76" t="str">
        <f>IF(Raw_data!J82="",NA(),Raw_data!J82)</f>
        <v>PayPal</v>
      </c>
      <c r="K76" t="str">
        <f>IF(Raw_data!K82="",NA(),Raw_data!K82)</f>
        <v>Cancelled</v>
      </c>
      <c r="L76">
        <f t="shared" si="2"/>
        <v>1</v>
      </c>
      <c r="M76" t="str">
        <f t="shared" si="3"/>
        <v>26-02-25</v>
      </c>
      <c r="N76" t="str">
        <f>LEFT(Table2[[#This Row],[Date_text]],2)</f>
        <v>26</v>
      </c>
      <c r="O76" s="32" t="str">
        <f>MID(Table2[[#This Row],[Date_text]],4,2)</f>
        <v>02</v>
      </c>
      <c r="P76" t="str">
        <f>RIGHT(Table2[[#This Row],[Date_text]],2)</f>
        <v>25</v>
      </c>
    </row>
    <row r="77" spans="1:16" x14ac:dyDescent="0.25">
      <c r="A77" t="str">
        <f>IF(Raw_data!A83="",NA(),Raw_data!A83)</f>
        <v>ORD0082</v>
      </c>
      <c r="B77" s="1" t="str">
        <f>IF(Raw_data!B83="",NA(),Raw_data!B83)</f>
        <v>24-02-25</v>
      </c>
      <c r="C77" t="str">
        <f>IF(Raw_data!C83="",NA(),Raw_data!C83)</f>
        <v>Smartphone</v>
      </c>
      <c r="D77" t="str">
        <f>IF(Raw_data!D83="",NA(),Raw_data!D83)</f>
        <v>Electronics</v>
      </c>
      <c r="E77">
        <f>IF(Raw_data!E83="",NA(),Raw_data!E83)</f>
        <v>500</v>
      </c>
      <c r="F77">
        <f>IF(Raw_data!F83="",NA(),Raw_data!F83)</f>
        <v>3</v>
      </c>
      <c r="G77">
        <f>IF(Raw_data!G83="",NA(),Raw_data!G83)</f>
        <v>1500</v>
      </c>
      <c r="H77" t="str">
        <f>IF(Raw_data!H83="",NA(),Raw_data!H83)</f>
        <v>Jane Smith</v>
      </c>
      <c r="I77" t="str">
        <f>IF(Raw_data!I83="",NA(),Raw_data!I83)</f>
        <v>Seattle</v>
      </c>
      <c r="J77" t="str">
        <f>IF(Raw_data!J83="",NA(),Raw_data!J83)</f>
        <v>Debit Card</v>
      </c>
      <c r="K77" t="str">
        <f>IF(Raw_data!K83="",NA(),Raw_data!K83)</f>
        <v>Cancelled</v>
      </c>
      <c r="L77">
        <f t="shared" si="2"/>
        <v>1</v>
      </c>
      <c r="M77" t="str">
        <f t="shared" si="3"/>
        <v>24-02-25</v>
      </c>
      <c r="N77" t="str">
        <f>LEFT(Table2[[#This Row],[Date_text]],2)</f>
        <v>24</v>
      </c>
      <c r="O77" s="32" t="str">
        <f>MID(Table2[[#This Row],[Date_text]],4,2)</f>
        <v>02</v>
      </c>
      <c r="P77" t="str">
        <f>RIGHT(Table2[[#This Row],[Date_text]],2)</f>
        <v>25</v>
      </c>
    </row>
    <row r="78" spans="1:16" x14ac:dyDescent="0.25">
      <c r="A78" t="str">
        <f>IF(Raw_data!A84="",NA(),Raw_data!A84)</f>
        <v>ORD0083</v>
      </c>
      <c r="B78" s="1" t="str">
        <f>IF(Raw_data!B84="",NA(),Raw_data!B84)</f>
        <v>28-02-25</v>
      </c>
      <c r="C78" t="str">
        <f>IF(Raw_data!C84="",NA(),Raw_data!C84)</f>
        <v>Washing Machine</v>
      </c>
      <c r="D78" t="str">
        <f>IF(Raw_data!D84="",NA(),Raw_data!D84)</f>
        <v>Home Appliances</v>
      </c>
      <c r="E78">
        <f>IF(Raw_data!E84="",NA(),Raw_data!E84)</f>
        <v>600</v>
      </c>
      <c r="F78">
        <f>IF(Raw_data!F84="",NA(),Raw_data!F84)</f>
        <v>4</v>
      </c>
      <c r="G78">
        <f>IF(Raw_data!G84="",NA(),Raw_data!G84)</f>
        <v>2400</v>
      </c>
      <c r="H78" t="str">
        <f>IF(Raw_data!H84="",NA(),Raw_data!H84)</f>
        <v>Emma Clark</v>
      </c>
      <c r="I78" t="str">
        <f>IF(Raw_data!I84="",NA(),Raw_data!I84)</f>
        <v>Houston</v>
      </c>
      <c r="J78" t="str">
        <f>IF(Raw_data!J84="",NA(),Raw_data!J84)</f>
        <v>Gift Card</v>
      </c>
      <c r="K78" t="str">
        <f>IF(Raw_data!K84="",NA(),Raw_data!K84)</f>
        <v>Cancelled</v>
      </c>
      <c r="L78">
        <f t="shared" si="2"/>
        <v>1</v>
      </c>
      <c r="M78" t="str">
        <f t="shared" si="3"/>
        <v>28-02-25</v>
      </c>
      <c r="N78" t="str">
        <f>LEFT(Table2[[#This Row],[Date_text]],2)</f>
        <v>28</v>
      </c>
      <c r="O78" s="32" t="str">
        <f>MID(Table2[[#This Row],[Date_text]],4,2)</f>
        <v>02</v>
      </c>
      <c r="P78" t="str">
        <f>RIGHT(Table2[[#This Row],[Date_text]],2)</f>
        <v>25</v>
      </c>
    </row>
    <row r="79" spans="1:16" x14ac:dyDescent="0.25">
      <c r="A79" t="str">
        <f>IF(Raw_data!A85="",NA(),Raw_data!A85)</f>
        <v>ORD0084</v>
      </c>
      <c r="B79" s="1" t="str">
        <f>IF(Raw_data!B85="",NA(),Raw_data!B85)</f>
        <v>14-02-25</v>
      </c>
      <c r="C79" t="str">
        <f>IF(Raw_data!C85="",NA(),Raw_data!C85)</f>
        <v>T-Shirt</v>
      </c>
      <c r="D79" t="str">
        <f>IF(Raw_data!D85="",NA(),Raw_data!D85)</f>
        <v>Clothing</v>
      </c>
      <c r="E79">
        <f>IF(Raw_data!E85="",NA(),Raw_data!E85)</f>
        <v>20</v>
      </c>
      <c r="F79">
        <f>IF(Raw_data!F85="",NA(),Raw_data!F85)</f>
        <v>5</v>
      </c>
      <c r="G79">
        <f>IF(Raw_data!G85="",NA(),Raw_data!G85)</f>
        <v>100</v>
      </c>
      <c r="H79" t="str">
        <f>IF(Raw_data!H85="",NA(),Raw_data!H85)</f>
        <v>Olivia Wilson</v>
      </c>
      <c r="I79" t="str">
        <f>IF(Raw_data!I85="",NA(),Raw_data!I85)</f>
        <v>Boston</v>
      </c>
      <c r="J79" t="str">
        <f>IF(Raw_data!J85="",NA(),Raw_data!J85)</f>
        <v>PayPal</v>
      </c>
      <c r="K79" t="str">
        <f>IF(Raw_data!K85="",NA(),Raw_data!K85)</f>
        <v>Completed</v>
      </c>
      <c r="L79">
        <f t="shared" si="2"/>
        <v>1</v>
      </c>
      <c r="M79" t="str">
        <f t="shared" si="3"/>
        <v>14-02-25</v>
      </c>
      <c r="N79" t="str">
        <f>LEFT(Table2[[#This Row],[Date_text]],2)</f>
        <v>14</v>
      </c>
      <c r="O79" s="32" t="str">
        <f>MID(Table2[[#This Row],[Date_text]],4,2)</f>
        <v>02</v>
      </c>
      <c r="P79" t="str">
        <f>RIGHT(Table2[[#This Row],[Date_text]],2)</f>
        <v>25</v>
      </c>
    </row>
    <row r="80" spans="1:16" x14ac:dyDescent="0.25">
      <c r="A80" t="str">
        <f>IF(Raw_data!A87="",NA(),Raw_data!A87)</f>
        <v>ORD0086</v>
      </c>
      <c r="B80" s="1" t="str">
        <f>IF(Raw_data!B87="",NA(),Raw_data!B87)</f>
        <v>25-02-25</v>
      </c>
      <c r="C80" t="str">
        <f>IF(Raw_data!C87="",NA(),Raw_data!C87)</f>
        <v>Smartwatch</v>
      </c>
      <c r="D80" t="str">
        <f>IF(Raw_data!D87="",NA(),Raw_data!D87)</f>
        <v>Electronics</v>
      </c>
      <c r="E80">
        <f>IF(Raw_data!E87="",NA(),Raw_data!E87)</f>
        <v>150</v>
      </c>
      <c r="F80">
        <f>IF(Raw_data!F87="",NA(),Raw_data!F87)</f>
        <v>5</v>
      </c>
      <c r="G80">
        <f>IF(Raw_data!G87="",NA(),Raw_data!G87)</f>
        <v>750</v>
      </c>
      <c r="H80" t="str">
        <f>IF(Raw_data!H87="",NA(),Raw_data!H87)</f>
        <v>Jane Smith</v>
      </c>
      <c r="I80" t="str">
        <f>IF(Raw_data!I87="",NA(),Raw_data!I87)</f>
        <v>Dallas</v>
      </c>
      <c r="J80" t="str">
        <f>IF(Raw_data!J87="",NA(),Raw_data!J87)</f>
        <v>PayPal</v>
      </c>
      <c r="K80" t="str">
        <f>IF(Raw_data!K87="",NA(),Raw_data!K87)</f>
        <v>Cancelled</v>
      </c>
      <c r="L80">
        <f t="shared" si="2"/>
        <v>1</v>
      </c>
      <c r="M80" t="str">
        <f t="shared" si="3"/>
        <v>25-02-25</v>
      </c>
      <c r="N80" t="str">
        <f>LEFT(Table2[[#This Row],[Date_text]],2)</f>
        <v>25</v>
      </c>
      <c r="O80" s="32" t="str">
        <f>MID(Table2[[#This Row],[Date_text]],4,2)</f>
        <v>02</v>
      </c>
      <c r="P80" t="str">
        <f>RIGHT(Table2[[#This Row],[Date_text]],2)</f>
        <v>25</v>
      </c>
    </row>
    <row r="81" spans="1:16" x14ac:dyDescent="0.25">
      <c r="A81" t="str">
        <f>IF(Raw_data!A89="",NA(),Raw_data!A89)</f>
        <v>ORD0088</v>
      </c>
      <c r="B81" s="1">
        <f>IF(Raw_data!B89="",NA(),Raw_data!B89)</f>
        <v>45810</v>
      </c>
      <c r="C81" t="str">
        <f>IF(Raw_data!C89="",NA(),Raw_data!C89)</f>
        <v>Refrigerator</v>
      </c>
      <c r="D81" t="str">
        <f>IF(Raw_data!D89="",NA(),Raw_data!D89)</f>
        <v>Home Appliances</v>
      </c>
      <c r="E81">
        <f>IF(Raw_data!E89="",NA(),Raw_data!E89)</f>
        <v>1200</v>
      </c>
      <c r="F81">
        <f>IF(Raw_data!F89="",NA(),Raw_data!F89)</f>
        <v>2</v>
      </c>
      <c r="G81">
        <f>IF(Raw_data!G89="",NA(),Raw_data!G89)</f>
        <v>2400</v>
      </c>
      <c r="H81" t="str">
        <f>IF(Raw_data!H89="",NA(),Raw_data!H89)</f>
        <v>Chris White</v>
      </c>
      <c r="I81" t="str">
        <f>IF(Raw_data!I89="",NA(),Raw_data!I89)</f>
        <v>Seattle</v>
      </c>
      <c r="J81" t="str">
        <f>IF(Raw_data!J89="",NA(),Raw_data!J89)</f>
        <v>Debit Card</v>
      </c>
      <c r="K81" t="str">
        <f>IF(Raw_data!K89="",NA(),Raw_data!K89)</f>
        <v>Pending</v>
      </c>
      <c r="L81">
        <f t="shared" si="2"/>
        <v>1</v>
      </c>
      <c r="M81" t="str">
        <f t="shared" si="3"/>
        <v>02-06-25</v>
      </c>
      <c r="N81" t="str">
        <f>LEFT(Table2[[#This Row],[Date_text]],2)</f>
        <v>02</v>
      </c>
      <c r="O81" s="32" t="str">
        <f>MID(Table2[[#This Row],[Date_text]],4,2)</f>
        <v>06</v>
      </c>
      <c r="P81" t="str">
        <f>RIGHT(Table2[[#This Row],[Date_text]],2)</f>
        <v>25</v>
      </c>
    </row>
    <row r="82" spans="1:16" x14ac:dyDescent="0.25">
      <c r="A82" t="str">
        <f>IF(Raw_data!A90="",NA(),Raw_data!A90)</f>
        <v>ORD0089</v>
      </c>
      <c r="B82" s="1" t="str">
        <f>IF(Raw_data!B90="",NA(),Raw_data!B90)</f>
        <v>26-03-25</v>
      </c>
      <c r="C82" t="str">
        <f>IF(Raw_data!C90="",NA(),Raw_data!C90)</f>
        <v>Running Shoes</v>
      </c>
      <c r="D82" t="str">
        <f>IF(Raw_data!D90="",NA(),Raw_data!D90)</f>
        <v>Footwear</v>
      </c>
      <c r="E82">
        <f>IF(Raw_data!E90="",NA(),Raw_data!E90)</f>
        <v>60</v>
      </c>
      <c r="F82">
        <f>IF(Raw_data!F90="",NA(),Raw_data!F90)</f>
        <v>5</v>
      </c>
      <c r="G82">
        <f>IF(Raw_data!G90="",NA(),Raw_data!G90)</f>
        <v>300</v>
      </c>
      <c r="H82" t="str">
        <f>IF(Raw_data!H90="",NA(),Raw_data!H90)</f>
        <v>Emma Clark</v>
      </c>
      <c r="I82" t="str">
        <f>IF(Raw_data!I90="",NA(),Raw_data!I90)</f>
        <v>Los Angeles</v>
      </c>
      <c r="J82" t="str">
        <f>IF(Raw_data!J90="",NA(),Raw_data!J90)</f>
        <v>Credit Card</v>
      </c>
      <c r="K82" t="str">
        <f>IF(Raw_data!K90="",NA(),Raw_data!K90)</f>
        <v>Cancelled</v>
      </c>
      <c r="L82">
        <f t="shared" si="2"/>
        <v>1</v>
      </c>
      <c r="M82" t="str">
        <f t="shared" si="3"/>
        <v>26-03-25</v>
      </c>
      <c r="N82" t="str">
        <f>LEFT(Table2[[#This Row],[Date_text]],2)</f>
        <v>26</v>
      </c>
      <c r="O82" s="32" t="str">
        <f>MID(Table2[[#This Row],[Date_text]],4,2)</f>
        <v>03</v>
      </c>
      <c r="P82" t="str">
        <f>RIGHT(Table2[[#This Row],[Date_text]],2)</f>
        <v>25</v>
      </c>
    </row>
    <row r="83" spans="1:16" x14ac:dyDescent="0.25">
      <c r="A83" t="str">
        <f>IF(Raw_data!A91="",NA(),Raw_data!A91)</f>
        <v>ORD0090</v>
      </c>
      <c r="B83" s="1" t="str">
        <f>IF(Raw_data!B91="",NA(),Raw_data!B91)</f>
        <v>24-03-25</v>
      </c>
      <c r="C83" t="str">
        <f>IF(Raw_data!C91="",NA(),Raw_data!C91)</f>
        <v>Smartwatch</v>
      </c>
      <c r="D83" t="str">
        <f>IF(Raw_data!D91="",NA(),Raw_data!D91)</f>
        <v>Electronics</v>
      </c>
      <c r="E83">
        <f>IF(Raw_data!E91="",NA(),Raw_data!E91)</f>
        <v>150</v>
      </c>
      <c r="F83">
        <f>IF(Raw_data!F91="",NA(),Raw_data!F91)</f>
        <v>5</v>
      </c>
      <c r="G83">
        <f>IF(Raw_data!G91="",NA(),Raw_data!G91)</f>
        <v>750</v>
      </c>
      <c r="H83" t="str">
        <f>IF(Raw_data!H91="",NA(),Raw_data!H91)</f>
        <v>Emily Johnson</v>
      </c>
      <c r="I83" t="str">
        <f>IF(Raw_data!I91="",NA(),Raw_data!I91)</f>
        <v>Houston</v>
      </c>
      <c r="J83" t="str">
        <f>IF(Raw_data!J91="",NA(),Raw_data!J91)</f>
        <v>Amazon Pay</v>
      </c>
      <c r="K83" t="str">
        <f>IF(Raw_data!K91="",NA(),Raw_data!K91)</f>
        <v>Completed</v>
      </c>
      <c r="L83">
        <f t="shared" si="2"/>
        <v>1</v>
      </c>
      <c r="M83" t="str">
        <f t="shared" si="3"/>
        <v>24-03-25</v>
      </c>
      <c r="N83" t="str">
        <f>LEFT(Table2[[#This Row],[Date_text]],2)</f>
        <v>24</v>
      </c>
      <c r="O83" s="32" t="str">
        <f>MID(Table2[[#This Row],[Date_text]],4,2)</f>
        <v>03</v>
      </c>
      <c r="P83" t="str">
        <f>RIGHT(Table2[[#This Row],[Date_text]],2)</f>
        <v>25</v>
      </c>
    </row>
    <row r="84" spans="1:16" x14ac:dyDescent="0.25">
      <c r="A84" t="str">
        <f>IF(Raw_data!A92="",NA(),Raw_data!A92)</f>
        <v>ORD0091</v>
      </c>
      <c r="B84" s="1">
        <f>IF(Raw_data!B92="",NA(),Raw_data!B92)</f>
        <v>45718</v>
      </c>
      <c r="C84" t="str">
        <f>IF(Raw_data!C92="",NA(),Raw_data!C92)</f>
        <v>Laptop</v>
      </c>
      <c r="D84" t="s">
        <v>22</v>
      </c>
      <c r="E84">
        <v>150</v>
      </c>
      <c r="F84">
        <f>IF(Raw_data!F92="",NA(),Raw_data!F92)</f>
        <v>4</v>
      </c>
      <c r="G84">
        <f>IF(Raw_data!G92="",NA(),Raw_data!G92)</f>
        <v>3200</v>
      </c>
      <c r="H84" t="str">
        <f>IF(Raw_data!H92="",NA(),Raw_data!H92)</f>
        <v>Daniel Harris</v>
      </c>
      <c r="I84" t="str">
        <f>IF(Raw_data!I92="",NA(),Raw_data!I92)</f>
        <v>Houston</v>
      </c>
      <c r="J84" t="str">
        <f>IF(Raw_data!J92="",NA(),Raw_data!J92)</f>
        <v>Gift Card</v>
      </c>
      <c r="K84" t="str">
        <f>IF(Raw_data!K92="",NA(),Raw_data!K92)</f>
        <v>Pending</v>
      </c>
      <c r="L84">
        <f t="shared" si="2"/>
        <v>1</v>
      </c>
      <c r="M84" t="str">
        <f t="shared" si="3"/>
        <v>02-03-25</v>
      </c>
      <c r="N84" t="str">
        <f>LEFT(Table2[[#This Row],[Date_text]],2)</f>
        <v>02</v>
      </c>
      <c r="O84" s="32" t="str">
        <f>MID(Table2[[#This Row],[Date_text]],4,2)</f>
        <v>03</v>
      </c>
      <c r="P84" t="str">
        <f>RIGHT(Table2[[#This Row],[Date_text]],2)</f>
        <v>25</v>
      </c>
    </row>
    <row r="85" spans="1:16" x14ac:dyDescent="0.25">
      <c r="A85" t="str">
        <f>IF(Raw_data!A93="",NA(),Raw_data!A93)</f>
        <v>ORD0092</v>
      </c>
      <c r="B85" s="1" t="str">
        <f>IF(Raw_data!B93="",NA(),Raw_data!B93)</f>
        <v>15-03-25</v>
      </c>
      <c r="C85" t="str">
        <f>IF(Raw_data!C93="",NA(),Raw_data!C93)</f>
        <v>Smartphone</v>
      </c>
      <c r="D85" t="str">
        <f>IF(Raw_data!D93="",NA(),Raw_data!D93)</f>
        <v>Electronics</v>
      </c>
      <c r="E85">
        <f>IF(Raw_data!E93="",NA(),Raw_data!E93)</f>
        <v>500</v>
      </c>
      <c r="F85">
        <f>IF(Raw_data!F93="",NA(),Raw_data!F93)</f>
        <v>2</v>
      </c>
      <c r="G85">
        <f>IF(Raw_data!G93="",NA(),Raw_data!G93)</f>
        <v>1000</v>
      </c>
      <c r="H85" t="str">
        <f>IF(Raw_data!H93="",NA(),Raw_data!H93)</f>
        <v>Olivia Wilson</v>
      </c>
      <c r="I85" t="str">
        <f>IF(Raw_data!I93="",NA(),Raw_data!I93)</f>
        <v>Boston</v>
      </c>
      <c r="J85" t="str">
        <f>IF(Raw_data!J93="",NA(),Raw_data!J93)</f>
        <v>PayPal</v>
      </c>
      <c r="K85" t="str">
        <f>IF(Raw_data!K93="",NA(),Raw_data!K93)</f>
        <v>Cancelled</v>
      </c>
      <c r="L85">
        <f t="shared" si="2"/>
        <v>1</v>
      </c>
      <c r="M85" t="str">
        <f t="shared" si="3"/>
        <v>15-03-25</v>
      </c>
      <c r="N85" t="str">
        <f>LEFT(Table2[[#This Row],[Date_text]],2)</f>
        <v>15</v>
      </c>
      <c r="O85" s="32" t="str">
        <f>MID(Table2[[#This Row],[Date_text]],4,2)</f>
        <v>03</v>
      </c>
      <c r="P85" t="str">
        <f>RIGHT(Table2[[#This Row],[Date_text]],2)</f>
        <v>25</v>
      </c>
    </row>
    <row r="86" spans="1:16" x14ac:dyDescent="0.25">
      <c r="A86" t="str">
        <f>IF(Raw_data!A94="",NA(),Raw_data!A94)</f>
        <v>ORD0093</v>
      </c>
      <c r="B86" s="1">
        <f>IF(Raw_data!B94="",NA(),Raw_data!B94)</f>
        <v>45811</v>
      </c>
      <c r="C86" t="str">
        <f>IF(Raw_data!C94="",NA(),Raw_data!C94)</f>
        <v>Refrigerator</v>
      </c>
      <c r="D86" t="str">
        <f>IF(Raw_data!D94="",NA(),Raw_data!D94)</f>
        <v>Home Appliances</v>
      </c>
      <c r="E86">
        <f>IF(Raw_data!E94="",NA(),Raw_data!E94)</f>
        <v>1200</v>
      </c>
      <c r="F86">
        <f>IF(Raw_data!F94="",NA(),Raw_data!F94)</f>
        <v>5</v>
      </c>
      <c r="G86">
        <f>IF(Raw_data!G94="",NA(),Raw_data!G94)</f>
        <v>6000</v>
      </c>
      <c r="H86" t="str">
        <f>IF(Raw_data!H94="",NA(),Raw_data!H94)</f>
        <v>David Lee</v>
      </c>
      <c r="I86" t="str">
        <f>IF(Raw_data!I94="",NA(),Raw_data!I94)</f>
        <v>Denver</v>
      </c>
      <c r="J86" t="str">
        <f>IF(Raw_data!J94="",NA(),Raw_data!J94)</f>
        <v>PayPal</v>
      </c>
      <c r="K86" t="str">
        <f>IF(Raw_data!K94="",NA(),Raw_data!K94)</f>
        <v>Cancelled</v>
      </c>
      <c r="L86">
        <f t="shared" si="2"/>
        <v>1</v>
      </c>
      <c r="M86" t="str">
        <f t="shared" si="3"/>
        <v>03-06-25</v>
      </c>
      <c r="N86" t="str">
        <f>LEFT(Table2[[#This Row],[Date_text]],2)</f>
        <v>03</v>
      </c>
      <c r="O86" s="32" t="str">
        <f>MID(Table2[[#This Row],[Date_text]],4,2)</f>
        <v>06</v>
      </c>
      <c r="P86" t="str">
        <f>RIGHT(Table2[[#This Row],[Date_text]],2)</f>
        <v>25</v>
      </c>
    </row>
    <row r="87" spans="1:16" x14ac:dyDescent="0.25">
      <c r="A87" t="str">
        <f>IF(Raw_data!A95="",NA(),Raw_data!A95)</f>
        <v>ORD0094</v>
      </c>
      <c r="B87" s="1" t="str">
        <f>IF(Raw_data!B95="",NA(),Raw_data!B95)</f>
        <v>25-03-25</v>
      </c>
      <c r="C87" t="str">
        <f>IF(Raw_data!C95="",NA(),Raw_data!C95)</f>
        <v>Jeans</v>
      </c>
      <c r="D87" t="str">
        <f>IF(Raw_data!D95="",NA(),Raw_data!D95)</f>
        <v>Clothing</v>
      </c>
      <c r="E87">
        <f>IF(Raw_data!E95="",NA(),Raw_data!E95)</f>
        <v>40</v>
      </c>
      <c r="F87">
        <f>IF(Raw_data!F95="",NA(),Raw_data!F95)</f>
        <v>5</v>
      </c>
      <c r="G87">
        <f>IF(Raw_data!G95="",NA(),Raw_data!G95)</f>
        <v>200</v>
      </c>
      <c r="H87" t="str">
        <f>IF(Raw_data!H95="",NA(),Raw_data!H95)</f>
        <v>Daniel Harris</v>
      </c>
      <c r="I87" t="str">
        <f>IF(Raw_data!I95="",NA(),Raw_data!I95)</f>
        <v>Seattle</v>
      </c>
      <c r="J87" t="str">
        <f>IF(Raw_data!J95="",NA(),Raw_data!J95)</f>
        <v>Credit Card</v>
      </c>
      <c r="K87" t="str">
        <f>IF(Raw_data!K95="",NA(),Raw_data!K95)</f>
        <v>Cancelled</v>
      </c>
      <c r="L87">
        <f t="shared" si="2"/>
        <v>1</v>
      </c>
      <c r="M87" t="str">
        <f t="shared" si="3"/>
        <v>25-03-25</v>
      </c>
      <c r="N87" t="str">
        <f>LEFT(Table2[[#This Row],[Date_text]],2)</f>
        <v>25</v>
      </c>
      <c r="O87" s="32" t="str">
        <f>MID(Table2[[#This Row],[Date_text]],4,2)</f>
        <v>03</v>
      </c>
      <c r="P87" t="str">
        <f>RIGHT(Table2[[#This Row],[Date_text]],2)</f>
        <v>25</v>
      </c>
    </row>
    <row r="88" spans="1:16" x14ac:dyDescent="0.25">
      <c r="A88" t="str">
        <f>IF(Raw_data!A96="",NA(),Raw_data!A96)</f>
        <v>ORD0095</v>
      </c>
      <c r="B88" s="1" t="str">
        <f>IF(Raw_data!B96="",NA(),Raw_data!B96)</f>
        <v>17-02-25</v>
      </c>
      <c r="C88" t="str">
        <f>IF(Raw_data!C96="",NA(),Raw_data!C96)</f>
        <v>Smartwatch</v>
      </c>
      <c r="D88" t="str">
        <f>IF(Raw_data!D96="",NA(),Raw_data!D96)</f>
        <v>Electronics</v>
      </c>
      <c r="E88">
        <f>IF(Raw_data!E96="",NA(),Raw_data!E96)</f>
        <v>150</v>
      </c>
      <c r="F88">
        <f>IF(Raw_data!F96="",NA(),Raw_data!F96)</f>
        <v>4</v>
      </c>
      <c r="G88">
        <f>IF(Raw_data!G96="",NA(),Raw_data!G96)</f>
        <v>600</v>
      </c>
      <c r="H88" t="str">
        <f>IF(Raw_data!H96="",NA(),Raw_data!H96)</f>
        <v>Chris White</v>
      </c>
      <c r="I88" t="str">
        <f>IF(Raw_data!I96="",NA(),Raw_data!I96)</f>
        <v>New York</v>
      </c>
      <c r="J88" t="str">
        <f>IF(Raw_data!J96="",NA(),Raw_data!J96)</f>
        <v>Debit Card</v>
      </c>
      <c r="K88" t="str">
        <f>IF(Raw_data!K96="",NA(),Raw_data!K96)</f>
        <v>Cancelled</v>
      </c>
      <c r="L88">
        <f t="shared" si="2"/>
        <v>1</v>
      </c>
      <c r="M88" t="str">
        <f t="shared" si="3"/>
        <v>17-02-25</v>
      </c>
      <c r="N88" t="str">
        <f>LEFT(Table2[[#This Row],[Date_text]],2)</f>
        <v>17</v>
      </c>
      <c r="O88" s="32" t="str">
        <f>MID(Table2[[#This Row],[Date_text]],4,2)</f>
        <v>02</v>
      </c>
      <c r="P88" t="str">
        <f>RIGHT(Table2[[#This Row],[Date_text]],2)</f>
        <v>25</v>
      </c>
    </row>
    <row r="89" spans="1:16" x14ac:dyDescent="0.25">
      <c r="A89" t="str">
        <f>IF(Raw_data!A97="",NA(),Raw_data!A97)</f>
        <v>ORD0096</v>
      </c>
      <c r="B89" s="1" t="str">
        <f>IF(Raw_data!B97="",NA(),Raw_data!B97)</f>
        <v>30-03-25</v>
      </c>
      <c r="C89" t="str">
        <f>IF(Raw_data!C97="",NA(),Raw_data!C97)</f>
        <v>Smartwatch</v>
      </c>
      <c r="D89" t="str">
        <f>IF(Raw_data!D97="",NA(),Raw_data!D97)</f>
        <v>Electronics</v>
      </c>
      <c r="E89">
        <f>IF(Raw_data!E97="",NA(),Raw_data!E97)</f>
        <v>150</v>
      </c>
      <c r="F89">
        <f>IF(Raw_data!F97="",NA(),Raw_data!F97)</f>
        <v>3</v>
      </c>
      <c r="G89">
        <f>IF(Raw_data!G97="",NA(),Raw_data!G97)</f>
        <v>450</v>
      </c>
      <c r="H89" t="str">
        <f>IF(Raw_data!H97="",NA(),Raw_data!H97)</f>
        <v>Jane Smith</v>
      </c>
      <c r="I89" t="str">
        <f>IF(Raw_data!I97="",NA(),Raw_data!I97)</f>
        <v>New York</v>
      </c>
      <c r="J89" t="str">
        <f>IF(Raw_data!J97="",NA(),Raw_data!J97)</f>
        <v>Amazon Pay</v>
      </c>
      <c r="K89" t="str">
        <f>IF(Raw_data!K97="",NA(),Raw_data!K97)</f>
        <v>Completed</v>
      </c>
      <c r="L89">
        <f t="shared" si="2"/>
        <v>1</v>
      </c>
      <c r="M89" t="str">
        <f t="shared" si="3"/>
        <v>30-03-25</v>
      </c>
      <c r="N89" t="str">
        <f>LEFT(Table2[[#This Row],[Date_text]],2)</f>
        <v>30</v>
      </c>
      <c r="O89" s="32" t="str">
        <f>MID(Table2[[#This Row],[Date_text]],4,2)</f>
        <v>03</v>
      </c>
      <c r="P89" t="str">
        <f>RIGHT(Table2[[#This Row],[Date_text]],2)</f>
        <v>25</v>
      </c>
    </row>
    <row r="90" spans="1:16" x14ac:dyDescent="0.25">
      <c r="A90" t="str">
        <f>IF(Raw_data!A99="",NA(),Raw_data!A99)</f>
        <v>ORD0098</v>
      </c>
      <c r="B90" s="1" t="str">
        <f>IF(Raw_data!B99="",NA(),Raw_data!B99)</f>
        <v>14-02-25</v>
      </c>
      <c r="C90" t="str">
        <f>IF(Raw_data!C99="",NA(),Raw_data!C99)</f>
        <v>Smartwatch</v>
      </c>
      <c r="D90" t="str">
        <f>IF(Raw_data!D99="",NA(),Raw_data!D99)</f>
        <v>Electronics</v>
      </c>
      <c r="E90">
        <f>IF(Raw_data!E99="",NA(),Raw_data!E99)</f>
        <v>150</v>
      </c>
      <c r="F90">
        <f>IF(Raw_data!F99="",NA(),Raw_data!F99)</f>
        <v>2</v>
      </c>
      <c r="G90">
        <f>IF(Raw_data!G99="",NA(),Raw_data!G99)</f>
        <v>300</v>
      </c>
      <c r="H90" t="str">
        <f>IF(Raw_data!H99="",NA(),Raw_data!H99)</f>
        <v>Chris White</v>
      </c>
      <c r="I90" t="str">
        <f>IF(Raw_data!I99="",NA(),Raw_data!I99)</f>
        <v>Miami</v>
      </c>
      <c r="J90" t="str">
        <f>IF(Raw_data!J99="",NA(),Raw_data!J99)</f>
        <v>PayPal</v>
      </c>
      <c r="K90" t="str">
        <f>IF(Raw_data!K99="",NA(),Raw_data!K99)</f>
        <v>Pending</v>
      </c>
      <c r="L90">
        <f t="shared" si="2"/>
        <v>1</v>
      </c>
      <c r="M90" t="str">
        <f t="shared" si="3"/>
        <v>14-02-25</v>
      </c>
      <c r="N90" t="str">
        <f>LEFT(Table2[[#This Row],[Date_text]],2)</f>
        <v>14</v>
      </c>
      <c r="O90" s="32" t="str">
        <f>MID(Table2[[#This Row],[Date_text]],4,2)</f>
        <v>02</v>
      </c>
      <c r="P90" t="str">
        <f>RIGHT(Table2[[#This Row],[Date_text]],2)</f>
        <v>25</v>
      </c>
    </row>
    <row r="91" spans="1:16" x14ac:dyDescent="0.25">
      <c r="A91" t="str">
        <f>IF(Raw_data!A100="",NA(),Raw_data!A100)</f>
        <v>ORD0099</v>
      </c>
      <c r="B91" s="1" t="str">
        <f>IF(Raw_data!B100="",NA(),Raw_data!B100)</f>
        <v>18-02-25</v>
      </c>
      <c r="C91" t="str">
        <f>IF(Raw_data!C100="",NA(),Raw_data!C100)</f>
        <v>Washing Machine</v>
      </c>
      <c r="D91" t="str">
        <f>IF(Raw_data!D100="",NA(),Raw_data!D100)</f>
        <v>Home Appliances</v>
      </c>
      <c r="E91">
        <f>IF(Raw_data!E100="",NA(),Raw_data!E100)</f>
        <v>600</v>
      </c>
      <c r="F91">
        <f>IF(Raw_data!F100="",NA(),Raw_data!F100)</f>
        <v>5</v>
      </c>
      <c r="G91">
        <f>IF(Raw_data!G100="",NA(),Raw_data!G100)</f>
        <v>3000</v>
      </c>
      <c r="H91" t="str">
        <f>IF(Raw_data!H100="",NA(),Raw_data!H100)</f>
        <v>Michael Brown</v>
      </c>
      <c r="I91" t="str">
        <f>IF(Raw_data!I100="",NA(),Raw_data!I100)</f>
        <v>Seattle</v>
      </c>
      <c r="J91" t="str">
        <f>IF(Raw_data!J100="",NA(),Raw_data!J100)</f>
        <v>Debit Card</v>
      </c>
      <c r="K91" t="str">
        <f>IF(Raw_data!K100="",NA(),Raw_data!K100)</f>
        <v>Completed</v>
      </c>
      <c r="L91">
        <f t="shared" si="2"/>
        <v>1</v>
      </c>
      <c r="M91" t="str">
        <f t="shared" si="3"/>
        <v>18-02-25</v>
      </c>
      <c r="N91" t="str">
        <f>LEFT(Table2[[#This Row],[Date_text]],2)</f>
        <v>18</v>
      </c>
      <c r="O91" s="32" t="str">
        <f>MID(Table2[[#This Row],[Date_text]],4,2)</f>
        <v>02</v>
      </c>
      <c r="P91" t="str">
        <f>RIGHT(Table2[[#This Row],[Date_text]],2)</f>
        <v>25</v>
      </c>
    </row>
    <row r="92" spans="1:16" x14ac:dyDescent="0.25">
      <c r="A92" t="str">
        <f>IF(Raw_data!A101="",NA(),Raw_data!A101)</f>
        <v>ORD0100</v>
      </c>
      <c r="B92" s="1" t="str">
        <f>IF(Raw_data!B101="",NA(),Raw_data!B101)</f>
        <v>13-02-25</v>
      </c>
      <c r="C92" t="str">
        <f>IF(Raw_data!C101="",NA(),Raw_data!C101)</f>
        <v>Running Shoes</v>
      </c>
      <c r="D92" t="str">
        <f>IF(Raw_data!D101="",NA(),Raw_data!D101)</f>
        <v>Footwear</v>
      </c>
      <c r="E92">
        <f>IF(Raw_data!E101="",NA(),Raw_data!E101)</f>
        <v>60</v>
      </c>
      <c r="F92">
        <f>IF(Raw_data!F101="",NA(),Raw_data!F101)</f>
        <v>1</v>
      </c>
      <c r="G92">
        <f>IF(Raw_data!G101="",NA(),Raw_data!G101)</f>
        <v>60</v>
      </c>
      <c r="H92" t="str">
        <f>IF(Raw_data!H101="",NA(),Raw_data!H101)</f>
        <v>Jane Smith</v>
      </c>
      <c r="I92" t="str">
        <f>IF(Raw_data!I101="",NA(),Raw_data!I101)</f>
        <v>Houston</v>
      </c>
      <c r="J92" t="str">
        <f>IF(Raw_data!J101="",NA(),Raw_data!J101)</f>
        <v>Gift Card</v>
      </c>
      <c r="K92" t="str">
        <f>IF(Raw_data!K101="",NA(),Raw_data!K101)</f>
        <v>Cancelled</v>
      </c>
      <c r="L92">
        <f t="shared" si="2"/>
        <v>1</v>
      </c>
      <c r="M92" t="str">
        <f t="shared" si="3"/>
        <v>13-02-25</v>
      </c>
      <c r="N92" t="str">
        <f>LEFT(Table2[[#This Row],[Date_text]],2)</f>
        <v>13</v>
      </c>
      <c r="O92" s="32" t="str">
        <f>MID(Table2[[#This Row],[Date_text]],4,2)</f>
        <v>02</v>
      </c>
      <c r="P92" t="str">
        <f>RIGHT(Table2[[#This Row],[Date_text]],2)</f>
        <v>25</v>
      </c>
    </row>
    <row r="93" spans="1:16" x14ac:dyDescent="0.25">
      <c r="A93" t="str">
        <f>IF(Raw_data!A102="",NA(),Raw_data!A102)</f>
        <v>ORD0101</v>
      </c>
      <c r="B93" s="1" t="str">
        <f>IF(Raw_data!B102="",NA(),Raw_data!B102)</f>
        <v>20-02-25</v>
      </c>
      <c r="C93" t="str">
        <f>IF(Raw_data!C102="",NA(),Raw_data!C102)</f>
        <v>Book</v>
      </c>
      <c r="D93" t="str">
        <f>IF(Raw_data!D102="",NA(),Raw_data!D102)</f>
        <v>Books</v>
      </c>
      <c r="E93">
        <f>IF(Raw_data!E102="",NA(),Raw_data!E102)</f>
        <v>15</v>
      </c>
      <c r="F93">
        <f>IF(Raw_data!F102="",NA(),Raw_data!F102)</f>
        <v>5</v>
      </c>
      <c r="G93">
        <f>IF(Raw_data!G102="",NA(),Raw_data!G102)</f>
        <v>75</v>
      </c>
      <c r="H93" t="str">
        <f>IF(Raw_data!H102="",NA(),Raw_data!H102)</f>
        <v>John Doe</v>
      </c>
      <c r="I93" t="str">
        <f>IF(Raw_data!I102="",NA(),Raw_data!I102)</f>
        <v>Denver</v>
      </c>
      <c r="J93" t="str">
        <f>IF(Raw_data!J102="",NA(),Raw_data!J102)</f>
        <v>PayPal</v>
      </c>
      <c r="K93" t="str">
        <f>IF(Raw_data!K102="",NA(),Raw_data!K102)</f>
        <v>Pending</v>
      </c>
      <c r="L93">
        <f t="shared" si="2"/>
        <v>1</v>
      </c>
      <c r="M93" t="str">
        <f t="shared" si="3"/>
        <v>20-02-25</v>
      </c>
      <c r="N93" t="str">
        <f>LEFT(Table2[[#This Row],[Date_text]],2)</f>
        <v>20</v>
      </c>
      <c r="O93" s="32" t="str">
        <f>MID(Table2[[#This Row],[Date_text]],4,2)</f>
        <v>02</v>
      </c>
      <c r="P93" t="str">
        <f>RIGHT(Table2[[#This Row],[Date_text]],2)</f>
        <v>25</v>
      </c>
    </row>
    <row r="94" spans="1:16" x14ac:dyDescent="0.25">
      <c r="A94" t="str">
        <f>IF(Raw_data!A104="",NA(),Raw_data!A104)</f>
        <v>ORD0103</v>
      </c>
      <c r="B94" s="1" t="str">
        <f>IF(Raw_data!B104="",NA(),Raw_data!B104)</f>
        <v>14-03-25</v>
      </c>
      <c r="C94" t="str">
        <f>IF(Raw_data!C104="",NA(),Raw_data!C104)</f>
        <v>T-Shirt</v>
      </c>
      <c r="D94" t="str">
        <f>IF(Raw_data!D104="",NA(),Raw_data!D104)</f>
        <v>Clothing</v>
      </c>
      <c r="E94">
        <f>IF(Raw_data!E104="",NA(),Raw_data!E104)</f>
        <v>20</v>
      </c>
      <c r="F94">
        <f>IF(Raw_data!F104="",NA(),Raw_data!F104)</f>
        <v>2</v>
      </c>
      <c r="G94">
        <f>IF(Raw_data!G104="",NA(),Raw_data!G104)</f>
        <v>40</v>
      </c>
      <c r="H94" t="str">
        <f>IF(Raw_data!H104="",NA(),Raw_data!H104)</f>
        <v>Michael Brown</v>
      </c>
      <c r="I94" t="str">
        <f>IF(Raw_data!I104="",NA(),Raw_data!I104)</f>
        <v>Chicago</v>
      </c>
      <c r="J94" t="str">
        <f>IF(Raw_data!J104="",NA(),Raw_data!J104)</f>
        <v>PayPal</v>
      </c>
      <c r="K94" t="str">
        <f>IF(Raw_data!K104="",NA(),Raw_data!K104)</f>
        <v>Pending</v>
      </c>
      <c r="L94">
        <f t="shared" si="2"/>
        <v>1</v>
      </c>
      <c r="M94" t="str">
        <f t="shared" si="3"/>
        <v>14-03-25</v>
      </c>
      <c r="N94" t="str">
        <f>LEFT(Table2[[#This Row],[Date_text]],2)</f>
        <v>14</v>
      </c>
      <c r="O94" s="32" t="str">
        <f>MID(Table2[[#This Row],[Date_text]],4,2)</f>
        <v>03</v>
      </c>
      <c r="P94" t="str">
        <f>RIGHT(Table2[[#This Row],[Date_text]],2)</f>
        <v>25</v>
      </c>
    </row>
    <row r="95" spans="1:16" x14ac:dyDescent="0.25">
      <c r="A95" t="str">
        <f>IF(Raw_data!A105="",NA(),Raw_data!A105)</f>
        <v>ORD0104</v>
      </c>
      <c r="B95" s="1" t="str">
        <f>IF(Raw_data!B105="",NA(),Raw_data!B105)</f>
        <v>22-02-25</v>
      </c>
      <c r="C95" t="str">
        <f>IF(Raw_data!C105="",NA(),Raw_data!C105)</f>
        <v>Jeans</v>
      </c>
      <c r="D95" t="str">
        <f>IF(Raw_data!D105="",NA(),Raw_data!D105)</f>
        <v>Clothing</v>
      </c>
      <c r="E95">
        <f>IF(Raw_data!E105="",NA(),Raw_data!E105)</f>
        <v>40</v>
      </c>
      <c r="F95">
        <f>IF(Raw_data!F105="",NA(),Raw_data!F105)</f>
        <v>5</v>
      </c>
      <c r="G95">
        <f>IF(Raw_data!G105="",NA(),Raw_data!G105)</f>
        <v>200</v>
      </c>
      <c r="H95" t="str">
        <f>IF(Raw_data!H105="",NA(),Raw_data!H105)</f>
        <v>Jane Smith</v>
      </c>
      <c r="I95" t="str">
        <f>IF(Raw_data!I105="",NA(),Raw_data!I105)</f>
        <v>Dallas</v>
      </c>
      <c r="J95" t="str">
        <f>IF(Raw_data!J105="",NA(),Raw_data!J105)</f>
        <v>Debit Card</v>
      </c>
      <c r="K95" t="str">
        <f>IF(Raw_data!K105="",NA(),Raw_data!K105)</f>
        <v>Pending</v>
      </c>
      <c r="L95">
        <f t="shared" si="2"/>
        <v>1</v>
      </c>
      <c r="M95" t="str">
        <f t="shared" si="3"/>
        <v>22-02-25</v>
      </c>
      <c r="N95" t="str">
        <f>LEFT(Table2[[#This Row],[Date_text]],2)</f>
        <v>22</v>
      </c>
      <c r="O95" s="32" t="str">
        <f>MID(Table2[[#This Row],[Date_text]],4,2)</f>
        <v>02</v>
      </c>
      <c r="P95" t="str">
        <f>RIGHT(Table2[[#This Row],[Date_text]],2)</f>
        <v>25</v>
      </c>
    </row>
    <row r="96" spans="1:16" x14ac:dyDescent="0.25">
      <c r="A96" t="str">
        <f>IF(Raw_data!A106="",NA(),Raw_data!A106)</f>
        <v>ORD0105</v>
      </c>
      <c r="B96" s="1" t="str">
        <f>IF(Raw_data!B106="",NA(),Raw_data!B106)</f>
        <v>16-03-25</v>
      </c>
      <c r="C96" t="str">
        <f>IF(Raw_data!C106="",NA(),Raw_data!C106)</f>
        <v>Jeans</v>
      </c>
      <c r="D96" t="str">
        <f>IF(Raw_data!D106="",NA(),Raw_data!D106)</f>
        <v>Clothing</v>
      </c>
      <c r="E96">
        <f>IF(Raw_data!E106="",NA(),Raw_data!E106)</f>
        <v>40</v>
      </c>
      <c r="F96">
        <f>IF(Raw_data!F106="",NA(),Raw_data!F106)</f>
        <v>1</v>
      </c>
      <c r="G96">
        <f>IF(Raw_data!G106="",NA(),Raw_data!G106)</f>
        <v>40</v>
      </c>
      <c r="H96" t="str">
        <f>IF(Raw_data!H106="",NA(),Raw_data!H106)</f>
        <v>Jane Smith</v>
      </c>
      <c r="I96" t="str">
        <f>IF(Raw_data!I106="",NA(),Raw_data!I106)</f>
        <v>Boston</v>
      </c>
      <c r="J96" t="str">
        <f>IF(Raw_data!J106="",NA(),Raw_data!J106)</f>
        <v>Debit Card</v>
      </c>
      <c r="K96" t="str">
        <f>IF(Raw_data!K106="",NA(),Raw_data!K106)</f>
        <v>Pending</v>
      </c>
      <c r="L96">
        <f t="shared" si="2"/>
        <v>1</v>
      </c>
      <c r="M96" t="str">
        <f t="shared" si="3"/>
        <v>16-03-25</v>
      </c>
      <c r="N96" t="str">
        <f>LEFT(Table2[[#This Row],[Date_text]],2)</f>
        <v>16</v>
      </c>
      <c r="O96" s="32" t="str">
        <f>MID(Table2[[#This Row],[Date_text]],4,2)</f>
        <v>03</v>
      </c>
      <c r="P96" t="str">
        <f>RIGHT(Table2[[#This Row],[Date_text]],2)</f>
        <v>25</v>
      </c>
    </row>
    <row r="97" spans="1:16" x14ac:dyDescent="0.25">
      <c r="A97" t="str">
        <f>IF(Raw_data!A107="",NA(),Raw_data!A107)</f>
        <v>ORD0106</v>
      </c>
      <c r="B97" s="1" t="str">
        <f>IF(Raw_data!B107="",NA(),Raw_data!B107)</f>
        <v>15-03-25</v>
      </c>
      <c r="C97" t="str">
        <f>IF(Raw_data!C107="",NA(),Raw_data!C107)</f>
        <v>T-Shirt</v>
      </c>
      <c r="D97" t="str">
        <f>IF(Raw_data!D107="",NA(),Raw_data!D107)</f>
        <v>Clothing</v>
      </c>
      <c r="E97">
        <v>150</v>
      </c>
      <c r="F97">
        <f>IF(Raw_data!F107="",NA(),Raw_data!F107)</f>
        <v>3</v>
      </c>
      <c r="G97">
        <f>IF(Raw_data!G107="",NA(),Raw_data!G107)</f>
        <v>60</v>
      </c>
      <c r="H97" t="str">
        <f>IF(Raw_data!H107="",NA(),Raw_data!H107)</f>
        <v>Olivia Wilson</v>
      </c>
      <c r="I97" t="str">
        <f>IF(Raw_data!I107="",NA(),Raw_data!I107)</f>
        <v>Chicago</v>
      </c>
      <c r="J97" t="str">
        <f>IF(Raw_data!J107="",NA(),Raw_data!J107)</f>
        <v>PayPal</v>
      </c>
      <c r="K97" t="str">
        <f>IF(Raw_data!K107="",NA(),Raw_data!K107)</f>
        <v>Pending</v>
      </c>
      <c r="L97">
        <f t="shared" si="2"/>
        <v>1</v>
      </c>
      <c r="M97" t="str">
        <f t="shared" si="3"/>
        <v>15-03-25</v>
      </c>
      <c r="N97" t="str">
        <f>LEFT(Table2[[#This Row],[Date_text]],2)</f>
        <v>15</v>
      </c>
      <c r="O97" s="32" t="str">
        <f>MID(Table2[[#This Row],[Date_text]],4,2)</f>
        <v>03</v>
      </c>
      <c r="P97" t="str">
        <f>RIGHT(Table2[[#This Row],[Date_text]],2)</f>
        <v>25</v>
      </c>
    </row>
    <row r="98" spans="1:16" x14ac:dyDescent="0.25">
      <c r="A98" t="str">
        <f>IF(Raw_data!A108="",NA(),Raw_data!A108)</f>
        <v>ORD0107</v>
      </c>
      <c r="B98" s="1" t="str">
        <f>IF(Raw_data!B108="",NA(),Raw_data!B108)</f>
        <v>19-03-25</v>
      </c>
      <c r="C98" t="str">
        <f>IF(Raw_data!C108="",NA(),Raw_data!C108)</f>
        <v>Jeans</v>
      </c>
      <c r="D98" t="str">
        <f>IF(Raw_data!D108="",NA(),Raw_data!D108)</f>
        <v>Clothing</v>
      </c>
      <c r="E98">
        <f>IF(Raw_data!E108="",NA(),Raw_data!E108)</f>
        <v>40</v>
      </c>
      <c r="F98">
        <f>IF(Raw_data!F108="",NA(),Raw_data!F108)</f>
        <v>3</v>
      </c>
      <c r="G98">
        <f>IF(Raw_data!G108="",NA(),Raw_data!G108)</f>
        <v>120</v>
      </c>
      <c r="H98" t="str">
        <f>IF(Raw_data!H108="",NA(),Raw_data!H108)</f>
        <v>Olivia Wilson</v>
      </c>
      <c r="I98" t="str">
        <f>IF(Raw_data!I108="",NA(),Raw_data!I108)</f>
        <v>Dallas</v>
      </c>
      <c r="J98" t="str">
        <f>IF(Raw_data!J108="",NA(),Raw_data!J108)</f>
        <v>Credit Card</v>
      </c>
      <c r="K98" t="str">
        <f>IF(Raw_data!K108="",NA(),Raw_data!K108)</f>
        <v>Cancelled</v>
      </c>
      <c r="L98">
        <f t="shared" si="2"/>
        <v>1</v>
      </c>
      <c r="M98" t="str">
        <f t="shared" si="3"/>
        <v>19-03-25</v>
      </c>
      <c r="N98" t="str">
        <f>LEFT(Table2[[#This Row],[Date_text]],2)</f>
        <v>19</v>
      </c>
      <c r="O98" s="32" t="str">
        <f>MID(Table2[[#This Row],[Date_text]],4,2)</f>
        <v>03</v>
      </c>
      <c r="P98" t="str">
        <f>RIGHT(Table2[[#This Row],[Date_text]],2)</f>
        <v>25</v>
      </c>
    </row>
    <row r="99" spans="1:16" x14ac:dyDescent="0.25">
      <c r="A99" t="str">
        <f>IF(Raw_data!A109="",NA(),Raw_data!A109)</f>
        <v>ORD0108</v>
      </c>
      <c r="B99" s="1" t="str">
        <f>IF(Raw_data!B109="",NA(),Raw_data!B109)</f>
        <v>16-03-25</v>
      </c>
      <c r="C99" t="str">
        <f>IF(Raw_data!C109="",NA(),Raw_data!C109)</f>
        <v>Headphones</v>
      </c>
      <c r="D99" t="str">
        <f>IF(Raw_data!D109="",NA(),Raw_data!D109)</f>
        <v>Electronics</v>
      </c>
      <c r="E99">
        <f>IF(Raw_data!E109="",NA(),Raw_data!E109)</f>
        <v>100</v>
      </c>
      <c r="F99">
        <f>IF(Raw_data!F109="",NA(),Raw_data!F109)</f>
        <v>2</v>
      </c>
      <c r="G99">
        <f>IF(Raw_data!G109="",NA(),Raw_data!G109)</f>
        <v>200</v>
      </c>
      <c r="H99" t="str">
        <f>IF(Raw_data!H109="",NA(),Raw_data!H109)</f>
        <v>Daniel Harris</v>
      </c>
      <c r="I99" t="str">
        <f>IF(Raw_data!I109="",NA(),Raw_data!I109)</f>
        <v>Miami</v>
      </c>
      <c r="J99" t="str">
        <f>IF(Raw_data!J109="",NA(),Raw_data!J109)</f>
        <v>PayPal</v>
      </c>
      <c r="K99" t="str">
        <f>IF(Raw_data!K109="",NA(),Raw_data!K109)</f>
        <v>Pending</v>
      </c>
      <c r="L99">
        <f t="shared" si="2"/>
        <v>1</v>
      </c>
      <c r="M99" t="str">
        <f t="shared" si="3"/>
        <v>16-03-25</v>
      </c>
      <c r="N99" t="str">
        <f>LEFT(Table2[[#This Row],[Date_text]],2)</f>
        <v>16</v>
      </c>
      <c r="O99" s="32" t="str">
        <f>MID(Table2[[#This Row],[Date_text]],4,2)</f>
        <v>03</v>
      </c>
      <c r="P99" t="str">
        <f>RIGHT(Table2[[#This Row],[Date_text]],2)</f>
        <v>25</v>
      </c>
    </row>
    <row r="100" spans="1:16" x14ac:dyDescent="0.25">
      <c r="A100" t="str">
        <f>IF(Raw_data!A110="",NA(),Raw_data!A110)</f>
        <v>ORD0109</v>
      </c>
      <c r="B100" s="1" t="str">
        <f>IF(Raw_data!B110="",NA(),Raw_data!B110)</f>
        <v>17-03-25</v>
      </c>
      <c r="C100" t="str">
        <f>IF(Raw_data!C110="",NA(),Raw_data!C110)</f>
        <v>Jeans</v>
      </c>
      <c r="D100" t="s">
        <v>22</v>
      </c>
      <c r="E100">
        <f>IF(Raw_data!E110="",NA(),Raw_data!E110)</f>
        <v>40</v>
      </c>
      <c r="F100">
        <f>IF(Raw_data!F110="",NA(),Raw_data!F110)</f>
        <v>5</v>
      </c>
      <c r="G100">
        <f>IF(Raw_data!G110="",NA(),Raw_data!G110)</f>
        <v>200</v>
      </c>
      <c r="H100" t="str">
        <f>IF(Raw_data!H110="",NA(),Raw_data!H110)</f>
        <v>Michael Brown</v>
      </c>
      <c r="I100" t="str">
        <f>IF(Raw_data!I110="",NA(),Raw_data!I110)</f>
        <v>New York</v>
      </c>
      <c r="J100" t="str">
        <f>IF(Raw_data!J110="",NA(),Raw_data!J110)</f>
        <v>PayPal</v>
      </c>
      <c r="K100" t="str">
        <f>IF(Raw_data!K110="",NA(),Raw_data!K110)</f>
        <v>Completed</v>
      </c>
      <c r="L100">
        <f t="shared" si="2"/>
        <v>1</v>
      </c>
      <c r="M100" t="str">
        <f t="shared" si="3"/>
        <v>17-03-25</v>
      </c>
      <c r="N100" t="str">
        <f>LEFT(Table2[[#This Row],[Date_text]],2)</f>
        <v>17</v>
      </c>
      <c r="O100" s="32" t="str">
        <f>MID(Table2[[#This Row],[Date_text]],4,2)</f>
        <v>03</v>
      </c>
      <c r="P100" t="str">
        <f>RIGHT(Table2[[#This Row],[Date_text]],2)</f>
        <v>25</v>
      </c>
    </row>
    <row r="101" spans="1:16" x14ac:dyDescent="0.25">
      <c r="A101" t="str">
        <f>IF(Raw_data!A111="",NA(),Raw_data!A111)</f>
        <v>ORD0110</v>
      </c>
      <c r="B101" s="1" t="str">
        <f>IF(Raw_data!B111="",NA(),Raw_data!B111)</f>
        <v>18-02-25</v>
      </c>
      <c r="C101" t="str">
        <f>IF(Raw_data!C111="",NA(),Raw_data!C111)</f>
        <v>Smartphone</v>
      </c>
      <c r="D101" t="str">
        <f>IF(Raw_data!D111="",NA(),Raw_data!D111)</f>
        <v>Electronics</v>
      </c>
      <c r="E101">
        <f>IF(Raw_data!E111="",NA(),Raw_data!E111)</f>
        <v>500</v>
      </c>
      <c r="F101">
        <f>IF(Raw_data!F111="",NA(),Raw_data!F111)</f>
        <v>5</v>
      </c>
      <c r="G101">
        <f>IF(Raw_data!G111="",NA(),Raw_data!G111)</f>
        <v>2500</v>
      </c>
      <c r="H101" t="str">
        <f>IF(Raw_data!H111="",NA(),Raw_data!H111)</f>
        <v>Olivia Wilson</v>
      </c>
      <c r="I101" t="str">
        <f>IF(Raw_data!I111="",NA(),Raw_data!I111)</f>
        <v>Dallas</v>
      </c>
      <c r="J101" t="str">
        <f>IF(Raw_data!J111="",NA(),Raw_data!J111)</f>
        <v>Amazon Pay</v>
      </c>
      <c r="K101" t="str">
        <f>IF(Raw_data!K111="",NA(),Raw_data!K111)</f>
        <v>Pending</v>
      </c>
      <c r="L101">
        <f t="shared" si="2"/>
        <v>1</v>
      </c>
      <c r="M101" t="str">
        <f t="shared" si="3"/>
        <v>18-02-25</v>
      </c>
      <c r="N101" t="str">
        <f>LEFT(Table2[[#This Row],[Date_text]],2)</f>
        <v>18</v>
      </c>
      <c r="O101" s="32" t="str">
        <f>MID(Table2[[#This Row],[Date_text]],4,2)</f>
        <v>02</v>
      </c>
      <c r="P101" t="str">
        <f>RIGHT(Table2[[#This Row],[Date_text]],2)</f>
        <v>25</v>
      </c>
    </row>
    <row r="102" spans="1:16" x14ac:dyDescent="0.25">
      <c r="A102" t="str">
        <f>IF(Raw_data!A112="",NA(),Raw_data!A112)</f>
        <v>ORD0111</v>
      </c>
      <c r="B102" s="1" t="str">
        <f>IF(Raw_data!B112="",NA(),Raw_data!B112)</f>
        <v>31-03-25</v>
      </c>
      <c r="C102" t="str">
        <f>IF(Raw_data!C112="",NA(),Raw_data!C112)</f>
        <v>Laptop</v>
      </c>
      <c r="D102" t="str">
        <f>IF(Raw_data!D112="",NA(),Raw_data!D112)</f>
        <v>Electronics</v>
      </c>
      <c r="E102">
        <f>IF(Raw_data!E112="",NA(),Raw_data!E112)</f>
        <v>800</v>
      </c>
      <c r="F102">
        <f>IF(Raw_data!F112="",NA(),Raw_data!F112)</f>
        <v>4</v>
      </c>
      <c r="G102">
        <f>IF(Raw_data!G112="",NA(),Raw_data!G112)</f>
        <v>3200</v>
      </c>
      <c r="H102" t="str">
        <f>IF(Raw_data!H112="",NA(),Raw_data!H112)</f>
        <v>Emma Clark</v>
      </c>
      <c r="I102" t="str">
        <f>IF(Raw_data!I112="",NA(),Raw_data!I112)</f>
        <v>Los Angeles</v>
      </c>
      <c r="J102" t="str">
        <f>IF(Raw_data!J112="",NA(),Raw_data!J112)</f>
        <v>Credit Card</v>
      </c>
      <c r="K102" t="str">
        <f>IF(Raw_data!K112="",NA(),Raw_data!K112)</f>
        <v>Completed</v>
      </c>
      <c r="L102">
        <f t="shared" si="2"/>
        <v>1</v>
      </c>
      <c r="M102" t="str">
        <f t="shared" si="3"/>
        <v>31-03-25</v>
      </c>
      <c r="N102" t="str">
        <f>LEFT(Table2[[#This Row],[Date_text]],2)</f>
        <v>31</v>
      </c>
      <c r="O102" s="32" t="str">
        <f>MID(Table2[[#This Row],[Date_text]],4,2)</f>
        <v>03</v>
      </c>
      <c r="P102" t="str">
        <f>RIGHT(Table2[[#This Row],[Date_text]],2)</f>
        <v>25</v>
      </c>
    </row>
    <row r="103" spans="1:16" x14ac:dyDescent="0.25">
      <c r="A103" t="str">
        <f>IF(Raw_data!A114="",NA(),Raw_data!A114)</f>
        <v>ORD0113</v>
      </c>
      <c r="B103" s="1" t="str">
        <f>IF(Raw_data!B114="",NA(),Raw_data!B114)</f>
        <v>19-03-25</v>
      </c>
      <c r="C103" t="str">
        <f>IF(Raw_data!C114="",NA(),Raw_data!C114)</f>
        <v>Book</v>
      </c>
      <c r="D103" t="str">
        <f>IF(Raw_data!D114="",NA(),Raw_data!D114)</f>
        <v>Books</v>
      </c>
      <c r="E103">
        <f>IF(Raw_data!E114="",NA(),Raw_data!E114)</f>
        <v>15</v>
      </c>
      <c r="F103">
        <f>IF(Raw_data!F114="",NA(),Raw_data!F114)</f>
        <v>5</v>
      </c>
      <c r="G103">
        <f>IF(Raw_data!G114="",NA(),Raw_data!G114)</f>
        <v>75</v>
      </c>
      <c r="H103" t="str">
        <f>IF(Raw_data!H114="",NA(),Raw_data!H114)</f>
        <v>David Lee</v>
      </c>
      <c r="I103" t="str">
        <f>IF(Raw_data!I114="",NA(),Raw_data!I114)</f>
        <v>San Francisco</v>
      </c>
      <c r="J103" t="str">
        <f>IF(Raw_data!J114="",NA(),Raw_data!J114)</f>
        <v>Debit Card</v>
      </c>
      <c r="K103" t="str">
        <f>IF(Raw_data!K114="",NA(),Raw_data!K114)</f>
        <v>Pending</v>
      </c>
      <c r="L103">
        <f t="shared" si="2"/>
        <v>1</v>
      </c>
      <c r="M103" t="str">
        <f t="shared" si="3"/>
        <v>19-03-25</v>
      </c>
      <c r="N103" t="str">
        <f>LEFT(Table2[[#This Row],[Date_text]],2)</f>
        <v>19</v>
      </c>
      <c r="O103" s="32" t="str">
        <f>MID(Table2[[#This Row],[Date_text]],4,2)</f>
        <v>03</v>
      </c>
      <c r="P103" t="str">
        <f>RIGHT(Table2[[#This Row],[Date_text]],2)</f>
        <v>25</v>
      </c>
    </row>
    <row r="104" spans="1:16" x14ac:dyDescent="0.25">
      <c r="A104" t="str">
        <f>IF(Raw_data!A115="",NA(),Raw_data!A115)</f>
        <v>ORD0114</v>
      </c>
      <c r="B104" s="1" t="str">
        <f>IF(Raw_data!B115="",NA(),Raw_data!B115)</f>
        <v>23-02-25</v>
      </c>
      <c r="C104" t="str">
        <f>IF(Raw_data!C115="",NA(),Raw_data!C115)</f>
        <v>Running Shoes</v>
      </c>
      <c r="D104" t="str">
        <f>IF(Raw_data!D115="",NA(),Raw_data!D115)</f>
        <v>Footwear</v>
      </c>
      <c r="E104">
        <f>IF(Raw_data!E115="",NA(),Raw_data!E115)</f>
        <v>60</v>
      </c>
      <c r="F104">
        <f>IF(Raw_data!F115="",NA(),Raw_data!F115)</f>
        <v>1</v>
      </c>
      <c r="G104">
        <f>IF(Raw_data!G115="",NA(),Raw_data!G115)</f>
        <v>60</v>
      </c>
      <c r="H104" t="str">
        <f>IF(Raw_data!H115="",NA(),Raw_data!H115)</f>
        <v>Emma Clark</v>
      </c>
      <c r="I104" t="str">
        <f>IF(Raw_data!I115="",NA(),Raw_data!I115)</f>
        <v>Houston</v>
      </c>
      <c r="J104" t="str">
        <f>IF(Raw_data!J115="",NA(),Raw_data!J115)</f>
        <v>Credit Card</v>
      </c>
      <c r="K104" t="str">
        <f>IF(Raw_data!K115="",NA(),Raw_data!K115)</f>
        <v>Pending</v>
      </c>
      <c r="L104">
        <f t="shared" si="2"/>
        <v>1</v>
      </c>
      <c r="M104" t="str">
        <f t="shared" si="3"/>
        <v>23-02-25</v>
      </c>
      <c r="N104" t="str">
        <f>LEFT(Table2[[#This Row],[Date_text]],2)</f>
        <v>23</v>
      </c>
      <c r="O104" s="32" t="str">
        <f>MID(Table2[[#This Row],[Date_text]],4,2)</f>
        <v>02</v>
      </c>
      <c r="P104" t="str">
        <f>RIGHT(Table2[[#This Row],[Date_text]],2)</f>
        <v>25</v>
      </c>
    </row>
    <row r="105" spans="1:16" x14ac:dyDescent="0.25">
      <c r="A105" t="str">
        <f>IF(Raw_data!A116="",NA(),Raw_data!A116)</f>
        <v>ORD0115</v>
      </c>
      <c r="B105" s="1" t="str">
        <f>IF(Raw_data!B116="",NA(),Raw_data!B116)</f>
        <v>21-03-25</v>
      </c>
      <c r="C105" t="str">
        <f>IF(Raw_data!C116="",NA(),Raw_data!C116)</f>
        <v>Running Shoes</v>
      </c>
      <c r="D105" t="str">
        <f>IF(Raw_data!D116="",NA(),Raw_data!D116)</f>
        <v>Footwear</v>
      </c>
      <c r="E105">
        <f>IF(Raw_data!E116="",NA(),Raw_data!E116)</f>
        <v>60</v>
      </c>
      <c r="F105">
        <f>IF(Raw_data!F116="",NA(),Raw_data!F116)</f>
        <v>3</v>
      </c>
      <c r="G105">
        <f>IF(Raw_data!G116="",NA(),Raw_data!G116)</f>
        <v>180</v>
      </c>
      <c r="H105" t="str">
        <f>IF(Raw_data!H116="",NA(),Raw_data!H116)</f>
        <v>Olivia Wilson</v>
      </c>
      <c r="I105" t="str">
        <f>IF(Raw_data!I116="",NA(),Raw_data!I116)</f>
        <v>Miami</v>
      </c>
      <c r="J105" t="str">
        <f>IF(Raw_data!J116="",NA(),Raw_data!J116)</f>
        <v>Amazon Pay</v>
      </c>
      <c r="K105" t="str">
        <f>IF(Raw_data!K116="",NA(),Raw_data!K116)</f>
        <v>Completed</v>
      </c>
      <c r="L105">
        <f t="shared" si="2"/>
        <v>1</v>
      </c>
      <c r="M105" t="str">
        <f t="shared" si="3"/>
        <v>21-03-25</v>
      </c>
      <c r="N105" t="str">
        <f>LEFT(Table2[[#This Row],[Date_text]],2)</f>
        <v>21</v>
      </c>
      <c r="O105" s="32" t="str">
        <f>MID(Table2[[#This Row],[Date_text]],4,2)</f>
        <v>03</v>
      </c>
      <c r="P105" t="str">
        <f>RIGHT(Table2[[#This Row],[Date_text]],2)</f>
        <v>25</v>
      </c>
    </row>
    <row r="106" spans="1:16" x14ac:dyDescent="0.25">
      <c r="A106" t="str">
        <f>IF(Raw_data!A117="",NA(),Raw_data!A117)</f>
        <v>ORD0116</v>
      </c>
      <c r="B106" s="1" t="str">
        <f>IF(Raw_data!B117="",NA(),Raw_data!B117)</f>
        <v>19-03-25</v>
      </c>
      <c r="C106" t="str">
        <f>IF(Raw_data!C117="",NA(),Raw_data!C117)</f>
        <v>Laptop</v>
      </c>
      <c r="D106" t="str">
        <f>IF(Raw_data!D117="",NA(),Raw_data!D117)</f>
        <v>Electronics</v>
      </c>
      <c r="E106">
        <f>IF(Raw_data!E117="",NA(),Raw_data!E117)</f>
        <v>800</v>
      </c>
      <c r="F106">
        <f>IF(Raw_data!F117="",NA(),Raw_data!F117)</f>
        <v>4</v>
      </c>
      <c r="G106">
        <f>IF(Raw_data!G117="",NA(),Raw_data!G117)</f>
        <v>3200</v>
      </c>
      <c r="H106" t="str">
        <f>IF(Raw_data!H117="",NA(),Raw_data!H117)</f>
        <v>Emma Clark</v>
      </c>
      <c r="I106" t="str">
        <f>IF(Raw_data!I117="",NA(),Raw_data!I117)</f>
        <v>Los Angeles</v>
      </c>
      <c r="J106" t="str">
        <f>IF(Raw_data!J117="",NA(),Raw_data!J117)</f>
        <v>Amazon Pay</v>
      </c>
      <c r="K106" t="str">
        <f>IF(Raw_data!K117="",NA(),Raw_data!K117)</f>
        <v>Completed</v>
      </c>
      <c r="L106">
        <f t="shared" si="2"/>
        <v>1</v>
      </c>
      <c r="M106" t="str">
        <f t="shared" si="3"/>
        <v>19-03-25</v>
      </c>
      <c r="N106" t="str">
        <f>LEFT(Table2[[#This Row],[Date_text]],2)</f>
        <v>19</v>
      </c>
      <c r="O106" s="32" t="str">
        <f>MID(Table2[[#This Row],[Date_text]],4,2)</f>
        <v>03</v>
      </c>
      <c r="P106" t="str">
        <f>RIGHT(Table2[[#This Row],[Date_text]],2)</f>
        <v>25</v>
      </c>
    </row>
    <row r="107" spans="1:16" x14ac:dyDescent="0.25">
      <c r="A107" t="str">
        <f>IF(Raw_data!A120="",NA(),Raw_data!A120)</f>
        <v>ORD0119</v>
      </c>
      <c r="B107" s="1" t="str">
        <f>IF(Raw_data!B120="",NA(),Raw_data!B120)</f>
        <v>16-03-25</v>
      </c>
      <c r="C107" t="str">
        <f>IF(Raw_data!C120="",NA(),Raw_data!C120)</f>
        <v>Smartphone</v>
      </c>
      <c r="D107" t="str">
        <f>IF(Raw_data!D120="",NA(),Raw_data!D120)</f>
        <v>Electronics</v>
      </c>
      <c r="E107">
        <f>IF(Raw_data!E120="",NA(),Raw_data!E120)</f>
        <v>500</v>
      </c>
      <c r="F107">
        <f>IF(Raw_data!F120="",NA(),Raw_data!F120)</f>
        <v>2</v>
      </c>
      <c r="G107">
        <f>IF(Raw_data!G120="",NA(),Raw_data!G120)</f>
        <v>1000</v>
      </c>
      <c r="H107" t="str">
        <f>IF(Raw_data!H120="",NA(),Raw_data!H120)</f>
        <v>Chris White</v>
      </c>
      <c r="I107" t="str">
        <f>IF(Raw_data!I120="",NA(),Raw_data!I120)</f>
        <v>Chicago</v>
      </c>
      <c r="J107" t="str">
        <f>IF(Raw_data!J120="",NA(),Raw_data!J120)</f>
        <v>PayPal</v>
      </c>
      <c r="K107" t="str">
        <f>IF(Raw_data!K120="",NA(),Raw_data!K120)</f>
        <v>Pending</v>
      </c>
      <c r="L107">
        <f t="shared" si="2"/>
        <v>1</v>
      </c>
      <c r="M107" t="str">
        <f t="shared" si="3"/>
        <v>16-03-25</v>
      </c>
      <c r="N107" t="str">
        <f>LEFT(Table2[[#This Row],[Date_text]],2)</f>
        <v>16</v>
      </c>
      <c r="O107" s="32" t="str">
        <f>MID(Table2[[#This Row],[Date_text]],4,2)</f>
        <v>03</v>
      </c>
      <c r="P107" t="str">
        <f>RIGHT(Table2[[#This Row],[Date_text]],2)</f>
        <v>25</v>
      </c>
    </row>
    <row r="108" spans="1:16" x14ac:dyDescent="0.25">
      <c r="A108" t="str">
        <f>IF(Raw_data!A121="",NA(),Raw_data!A121)</f>
        <v>ORD0120</v>
      </c>
      <c r="B108" s="1" t="str">
        <f>IF(Raw_data!B121="",NA(),Raw_data!B121)</f>
        <v>16-02-25</v>
      </c>
      <c r="C108" t="str">
        <f>IF(Raw_data!C121="",NA(),Raw_data!C121)</f>
        <v>Laptop</v>
      </c>
      <c r="D108" t="str">
        <f>IF(Raw_data!D121="",NA(),Raw_data!D121)</f>
        <v>Electronics</v>
      </c>
      <c r="E108">
        <f>IF(Raw_data!E121="",NA(),Raw_data!E121)</f>
        <v>800</v>
      </c>
      <c r="F108">
        <f>IF(Raw_data!F121="",NA(),Raw_data!F121)</f>
        <v>5</v>
      </c>
      <c r="G108">
        <f>IF(Raw_data!G121="",NA(),Raw_data!G121)</f>
        <v>4000</v>
      </c>
      <c r="H108" t="str">
        <f>IF(Raw_data!H121="",NA(),Raw_data!H121)</f>
        <v>Emily Johnson</v>
      </c>
      <c r="I108" t="str">
        <f>IF(Raw_data!I121="",NA(),Raw_data!I121)</f>
        <v>Denver</v>
      </c>
      <c r="J108" t="str">
        <f>IF(Raw_data!J121="",NA(),Raw_data!J121)</f>
        <v>PayPal</v>
      </c>
      <c r="K108" t="str">
        <f>IF(Raw_data!K121="",NA(),Raw_data!K121)</f>
        <v>Completed</v>
      </c>
      <c r="L108">
        <f t="shared" si="2"/>
        <v>1</v>
      </c>
      <c r="M108" t="str">
        <f t="shared" si="3"/>
        <v>16-02-25</v>
      </c>
      <c r="N108" t="str">
        <f>LEFT(Table2[[#This Row],[Date_text]],2)</f>
        <v>16</v>
      </c>
      <c r="O108" s="32" t="str">
        <f>MID(Table2[[#This Row],[Date_text]],4,2)</f>
        <v>02</v>
      </c>
      <c r="P108" t="str">
        <f>RIGHT(Table2[[#This Row],[Date_text]],2)</f>
        <v>25</v>
      </c>
    </row>
    <row r="109" spans="1:16" x14ac:dyDescent="0.25">
      <c r="A109" t="str">
        <f>IF(Raw_data!A122="",NA(),Raw_data!A122)</f>
        <v>ORD0121</v>
      </c>
      <c r="B109" s="1" t="str">
        <f>IF(Raw_data!B122="",NA(),Raw_data!B122)</f>
        <v>18-02-25</v>
      </c>
      <c r="C109" t="str">
        <f>IF(Raw_data!C122="",NA(),Raw_data!C122)</f>
        <v>Smartphone</v>
      </c>
      <c r="D109" t="str">
        <f>IF(Raw_data!D122="",NA(),Raw_data!D122)</f>
        <v>Electronics</v>
      </c>
      <c r="E109">
        <v>150</v>
      </c>
      <c r="F109">
        <f>IF(Raw_data!F122="",NA(),Raw_data!F122)</f>
        <v>1</v>
      </c>
      <c r="G109">
        <f>IF(Raw_data!G122="",NA(),Raw_data!G122)</f>
        <v>500</v>
      </c>
      <c r="H109" t="str">
        <f>IF(Raw_data!H122="",NA(),Raw_data!H122)</f>
        <v>John Doe</v>
      </c>
      <c r="I109" t="str">
        <f>IF(Raw_data!I122="",NA(),Raw_data!I122)</f>
        <v>Dallas</v>
      </c>
      <c r="J109" t="str">
        <f>IF(Raw_data!J122="",NA(),Raw_data!J122)</f>
        <v>Gift Card</v>
      </c>
      <c r="K109" t="str">
        <f>IF(Raw_data!K122="",NA(),Raw_data!K122)</f>
        <v>Pending</v>
      </c>
      <c r="L109">
        <f t="shared" si="2"/>
        <v>1</v>
      </c>
      <c r="M109" t="str">
        <f t="shared" si="3"/>
        <v>18-02-25</v>
      </c>
      <c r="N109" t="str">
        <f>LEFT(Table2[[#This Row],[Date_text]],2)</f>
        <v>18</v>
      </c>
      <c r="O109" s="32" t="str">
        <f>MID(Table2[[#This Row],[Date_text]],4,2)</f>
        <v>02</v>
      </c>
      <c r="P109" t="str">
        <f>RIGHT(Table2[[#This Row],[Date_text]],2)</f>
        <v>25</v>
      </c>
    </row>
    <row r="110" spans="1:16" x14ac:dyDescent="0.25">
      <c r="A110" t="str">
        <f>IF(Raw_data!A123="",NA(),Raw_data!A123)</f>
        <v>ORD0122</v>
      </c>
      <c r="B110" s="1" t="str">
        <f>IF(Raw_data!B123="",NA(),Raw_data!B123)</f>
        <v>28-03-25</v>
      </c>
      <c r="C110" t="str">
        <f>IF(Raw_data!C123="",NA(),Raw_data!C123)</f>
        <v>Laptop</v>
      </c>
      <c r="D110" t="str">
        <f>IF(Raw_data!D123="",NA(),Raw_data!D123)</f>
        <v>Electronics</v>
      </c>
      <c r="E110">
        <f>IF(Raw_data!E123="",NA(),Raw_data!E123)</f>
        <v>800</v>
      </c>
      <c r="F110">
        <f>IF(Raw_data!F123="",NA(),Raw_data!F123)</f>
        <v>3</v>
      </c>
      <c r="G110">
        <f>IF(Raw_data!G123="",NA(),Raw_data!G123)</f>
        <v>2400</v>
      </c>
      <c r="H110" t="str">
        <f>IF(Raw_data!H123="",NA(),Raw_data!H123)</f>
        <v>John Doe</v>
      </c>
      <c r="I110" t="str">
        <f>IF(Raw_data!I123="",NA(),Raw_data!I123)</f>
        <v>Miami</v>
      </c>
      <c r="J110" t="str">
        <f>IF(Raw_data!J123="",NA(),Raw_data!J123)</f>
        <v>Credit Card</v>
      </c>
      <c r="K110" t="str">
        <f>IF(Raw_data!K123="",NA(),Raw_data!K123)</f>
        <v>Cancelled</v>
      </c>
      <c r="L110">
        <f t="shared" si="2"/>
        <v>1</v>
      </c>
      <c r="M110" t="str">
        <f t="shared" si="3"/>
        <v>28-03-25</v>
      </c>
      <c r="N110" t="str">
        <f>LEFT(Table2[[#This Row],[Date_text]],2)</f>
        <v>28</v>
      </c>
      <c r="O110" s="32" t="str">
        <f>MID(Table2[[#This Row],[Date_text]],4,2)</f>
        <v>03</v>
      </c>
      <c r="P110" t="str">
        <f>RIGHT(Table2[[#This Row],[Date_text]],2)</f>
        <v>25</v>
      </c>
    </row>
    <row r="111" spans="1:16" x14ac:dyDescent="0.25">
      <c r="A111" t="str">
        <f>IF(Raw_data!A124="",NA(),Raw_data!A124)</f>
        <v>ORD0123</v>
      </c>
      <c r="B111" s="1" t="str">
        <f>IF(Raw_data!B124="",NA(),Raw_data!B124)</f>
        <v>23-02-25</v>
      </c>
      <c r="C111" t="str">
        <f>IF(Raw_data!C124="",NA(),Raw_data!C124)</f>
        <v>Book</v>
      </c>
      <c r="D111" t="str">
        <f>IF(Raw_data!D124="",NA(),Raw_data!D124)</f>
        <v>Books</v>
      </c>
      <c r="E111">
        <f>IF(Raw_data!E124="",NA(),Raw_data!E124)</f>
        <v>15</v>
      </c>
      <c r="F111">
        <f>IF(Raw_data!F124="",NA(),Raw_data!F124)</f>
        <v>3</v>
      </c>
      <c r="G111">
        <f>IF(Raw_data!G124="",NA(),Raw_data!G124)</f>
        <v>45</v>
      </c>
      <c r="H111" t="str">
        <f>IF(Raw_data!H124="",NA(),Raw_data!H124)</f>
        <v>Chris White</v>
      </c>
      <c r="I111" t="str">
        <f>IF(Raw_data!I124="",NA(),Raw_data!I124)</f>
        <v>Boston</v>
      </c>
      <c r="J111" t="str">
        <f>IF(Raw_data!J124="",NA(),Raw_data!J124)</f>
        <v>Gift Card</v>
      </c>
      <c r="K111" t="str">
        <f>IF(Raw_data!K124="",NA(),Raw_data!K124)</f>
        <v>Cancelled</v>
      </c>
      <c r="L111">
        <f t="shared" si="2"/>
        <v>1</v>
      </c>
      <c r="M111" t="str">
        <f t="shared" si="3"/>
        <v>23-02-25</v>
      </c>
      <c r="N111" t="str">
        <f>LEFT(Table2[[#This Row],[Date_text]],2)</f>
        <v>23</v>
      </c>
      <c r="O111" s="32" t="str">
        <f>MID(Table2[[#This Row],[Date_text]],4,2)</f>
        <v>02</v>
      </c>
      <c r="P111" t="str">
        <f>RIGHT(Table2[[#This Row],[Date_text]],2)</f>
        <v>25</v>
      </c>
    </row>
    <row r="112" spans="1:16" x14ac:dyDescent="0.25">
      <c r="A112" t="str">
        <f>IF(Raw_data!A125="",NA(),Raw_data!A125)</f>
        <v>ORD0124</v>
      </c>
      <c r="B112" s="1">
        <f>IF(Raw_data!B125="",NA(),Raw_data!B125)</f>
        <v>45932</v>
      </c>
      <c r="C112" t="str">
        <f>IF(Raw_data!C125="",NA(),Raw_data!C125)</f>
        <v>Book</v>
      </c>
      <c r="D112" t="s">
        <v>22</v>
      </c>
      <c r="E112">
        <f>IF(Raw_data!E125="",NA(),Raw_data!E125)</f>
        <v>15</v>
      </c>
      <c r="F112">
        <f>IF(Raw_data!F125="",NA(),Raw_data!F125)</f>
        <v>1</v>
      </c>
      <c r="G112">
        <f>IF(Raw_data!G125="",NA(),Raw_data!G125)</f>
        <v>15</v>
      </c>
      <c r="H112" t="str">
        <f>IF(Raw_data!H125="",NA(),Raw_data!H125)</f>
        <v>Emma Clark</v>
      </c>
      <c r="I112" t="str">
        <f>IF(Raw_data!I125="",NA(),Raw_data!I125)</f>
        <v>Seattle</v>
      </c>
      <c r="J112" t="str">
        <f>IF(Raw_data!J125="",NA(),Raw_data!J125)</f>
        <v>Gift Card</v>
      </c>
      <c r="K112" t="str">
        <f>IF(Raw_data!K125="",NA(),Raw_data!K125)</f>
        <v>Pending</v>
      </c>
      <c r="L112">
        <f t="shared" si="2"/>
        <v>1</v>
      </c>
      <c r="M112" t="str">
        <f t="shared" si="3"/>
        <v>02-10-25</v>
      </c>
      <c r="N112" t="str">
        <f>LEFT(Table2[[#This Row],[Date_text]],2)</f>
        <v>02</v>
      </c>
      <c r="O112" s="32" t="str">
        <f>MID(Table2[[#This Row],[Date_text]],4,2)</f>
        <v>10</v>
      </c>
      <c r="P112" t="str">
        <f>RIGHT(Table2[[#This Row],[Date_text]],2)</f>
        <v>25</v>
      </c>
    </row>
    <row r="113" spans="1:16" x14ac:dyDescent="0.25">
      <c r="A113" t="str">
        <f>IF(Raw_data!A126="",NA(),Raw_data!A126)</f>
        <v>ORD0125</v>
      </c>
      <c r="B113" s="1" t="str">
        <f>IF(Raw_data!B126="",NA(),Raw_data!B126)</f>
        <v>23-02-25</v>
      </c>
      <c r="C113" t="str">
        <f>IF(Raw_data!C126="",NA(),Raw_data!C126)</f>
        <v>Smartphone</v>
      </c>
      <c r="D113" t="str">
        <f>IF(Raw_data!D126="",NA(),Raw_data!D126)</f>
        <v>Electronics</v>
      </c>
      <c r="E113">
        <f>IF(Raw_data!E126="",NA(),Raw_data!E126)</f>
        <v>500</v>
      </c>
      <c r="F113">
        <f>IF(Raw_data!F126="",NA(),Raw_data!F126)</f>
        <v>1</v>
      </c>
      <c r="G113">
        <f>IF(Raw_data!G126="",NA(),Raw_data!G126)</f>
        <v>500</v>
      </c>
      <c r="H113" t="str">
        <f>IF(Raw_data!H126="",NA(),Raw_data!H126)</f>
        <v>Emily Johnson</v>
      </c>
      <c r="I113" t="str">
        <f>IF(Raw_data!I126="",NA(),Raw_data!I126)</f>
        <v>Denver</v>
      </c>
      <c r="J113" t="str">
        <f>IF(Raw_data!J126="",NA(),Raw_data!J126)</f>
        <v>Amazon Pay</v>
      </c>
      <c r="K113" t="str">
        <f>IF(Raw_data!K126="",NA(),Raw_data!K126)</f>
        <v>Completed</v>
      </c>
      <c r="L113">
        <f t="shared" si="2"/>
        <v>1</v>
      </c>
      <c r="M113" t="str">
        <f t="shared" si="3"/>
        <v>23-02-25</v>
      </c>
      <c r="N113" t="str">
        <f>LEFT(Table2[[#This Row],[Date_text]],2)</f>
        <v>23</v>
      </c>
      <c r="O113" s="32" t="str">
        <f>MID(Table2[[#This Row],[Date_text]],4,2)</f>
        <v>02</v>
      </c>
      <c r="P113" t="str">
        <f>RIGHT(Table2[[#This Row],[Date_text]],2)</f>
        <v>25</v>
      </c>
    </row>
    <row r="114" spans="1:16" x14ac:dyDescent="0.25">
      <c r="A114" t="str">
        <f>IF(Raw_data!A127="",NA(),Raw_data!A127)</f>
        <v>ORD0126</v>
      </c>
      <c r="B114" s="1">
        <f>IF(Raw_data!B127="",NA(),Raw_data!B127)</f>
        <v>45749</v>
      </c>
      <c r="C114" t="str">
        <f>IF(Raw_data!C127="",NA(),Raw_data!C127)</f>
        <v>Refrigerator</v>
      </c>
      <c r="D114" t="str">
        <f>IF(Raw_data!D127="",NA(),Raw_data!D127)</f>
        <v>Home Appliances</v>
      </c>
      <c r="E114">
        <f>IF(Raw_data!E127="",NA(),Raw_data!E127)</f>
        <v>1200</v>
      </c>
      <c r="F114">
        <f>IF(Raw_data!F127="",NA(),Raw_data!F127)</f>
        <v>5</v>
      </c>
      <c r="G114">
        <f>IF(Raw_data!G127="",NA(),Raw_data!G127)</f>
        <v>6000</v>
      </c>
      <c r="H114" t="str">
        <f>IF(Raw_data!H127="",NA(),Raw_data!H127)</f>
        <v>Olivia Wilson</v>
      </c>
      <c r="I114" t="str">
        <f>IF(Raw_data!I127="",NA(),Raw_data!I127)</f>
        <v>Chicago</v>
      </c>
      <c r="J114" t="str">
        <f>IF(Raw_data!J127="",NA(),Raw_data!J127)</f>
        <v>Gift Card</v>
      </c>
      <c r="K114" t="str">
        <f>IF(Raw_data!K127="",NA(),Raw_data!K127)</f>
        <v>Pending</v>
      </c>
      <c r="L114">
        <f t="shared" si="2"/>
        <v>1</v>
      </c>
      <c r="M114" t="str">
        <f t="shared" si="3"/>
        <v>02-04-25</v>
      </c>
      <c r="N114" t="str">
        <f>LEFT(Table2[[#This Row],[Date_text]],2)</f>
        <v>02</v>
      </c>
      <c r="O114" s="32" t="str">
        <f>MID(Table2[[#This Row],[Date_text]],4,2)</f>
        <v>04</v>
      </c>
      <c r="P114" t="str">
        <f>RIGHT(Table2[[#This Row],[Date_text]],2)</f>
        <v>25</v>
      </c>
    </row>
    <row r="115" spans="1:16" x14ac:dyDescent="0.25">
      <c r="A115" t="str">
        <f>IF(Raw_data!A128="",NA(),Raw_data!A128)</f>
        <v>ORD0127</v>
      </c>
      <c r="B115" s="1" t="str">
        <f>IF(Raw_data!B128="",NA(),Raw_data!B128)</f>
        <v>18-02-25</v>
      </c>
      <c r="C115" t="str">
        <f>IF(Raw_data!C128="",NA(),Raw_data!C128)</f>
        <v>T-Shirt</v>
      </c>
      <c r="D115" t="str">
        <f>IF(Raw_data!D128="",NA(),Raw_data!D128)</f>
        <v>Clothing</v>
      </c>
      <c r="E115">
        <f>IF(Raw_data!E128="",NA(),Raw_data!E128)</f>
        <v>20</v>
      </c>
      <c r="F115">
        <v>3</v>
      </c>
      <c r="G115">
        <f>IF(Raw_data!G128="",NA(),Raw_data!G128)</f>
        <v>60</v>
      </c>
      <c r="H115" t="str">
        <f>IF(Raw_data!H128="",NA(),Raw_data!H128)</f>
        <v>Emma Clark</v>
      </c>
      <c r="I115" t="str">
        <f>IF(Raw_data!I128="",NA(),Raw_data!I128)</f>
        <v>Dallas</v>
      </c>
      <c r="J115" t="str">
        <f>IF(Raw_data!J128="",NA(),Raw_data!J128)</f>
        <v>Debit Card</v>
      </c>
      <c r="K115" t="str">
        <f>IF(Raw_data!K128="",NA(),Raw_data!K128)</f>
        <v>Completed</v>
      </c>
      <c r="L115">
        <f t="shared" si="2"/>
        <v>1</v>
      </c>
      <c r="M115" t="str">
        <f t="shared" si="3"/>
        <v>18-02-25</v>
      </c>
      <c r="N115" t="str">
        <f>LEFT(Table2[[#This Row],[Date_text]],2)</f>
        <v>18</v>
      </c>
      <c r="O115" s="32" t="str">
        <f>MID(Table2[[#This Row],[Date_text]],4,2)</f>
        <v>02</v>
      </c>
      <c r="P115" t="str">
        <f>RIGHT(Table2[[#This Row],[Date_text]],2)</f>
        <v>25</v>
      </c>
    </row>
    <row r="116" spans="1:16" x14ac:dyDescent="0.25">
      <c r="A116" t="str">
        <f>IF(Raw_data!A129="",NA(),Raw_data!A129)</f>
        <v>ORD0128</v>
      </c>
      <c r="B116" s="1" t="str">
        <f>IF(Raw_data!B129="",NA(),Raw_data!B129)</f>
        <v>23-03-25</v>
      </c>
      <c r="C116" t="str">
        <f>IF(Raw_data!C129="",NA(),Raw_data!C129)</f>
        <v>Smartwatch</v>
      </c>
      <c r="D116" t="str">
        <f>IF(Raw_data!D129="",NA(),Raw_data!D129)</f>
        <v>Electronics</v>
      </c>
      <c r="E116">
        <f>IF(Raw_data!E129="",NA(),Raw_data!E129)</f>
        <v>150</v>
      </c>
      <c r="F116">
        <f>IF(Raw_data!F129="",NA(),Raw_data!F129)</f>
        <v>2</v>
      </c>
      <c r="G116">
        <f>IF(Raw_data!G129="",NA(),Raw_data!G129)</f>
        <v>300</v>
      </c>
      <c r="H116" t="str">
        <f>IF(Raw_data!H129="",NA(),Raw_data!H129)</f>
        <v>Emily Johnson</v>
      </c>
      <c r="I116" t="str">
        <f>IF(Raw_data!I129="",NA(),Raw_data!I129)</f>
        <v>Dallas</v>
      </c>
      <c r="J116" t="str">
        <f>IF(Raw_data!J129="",NA(),Raw_data!J129)</f>
        <v>PayPal</v>
      </c>
      <c r="K116" t="str">
        <f>IF(Raw_data!K129="",NA(),Raw_data!K129)</f>
        <v>Cancelled</v>
      </c>
      <c r="L116">
        <f t="shared" si="2"/>
        <v>1</v>
      </c>
      <c r="M116" t="str">
        <f t="shared" si="3"/>
        <v>23-03-25</v>
      </c>
      <c r="N116" t="str">
        <f>LEFT(Table2[[#This Row],[Date_text]],2)</f>
        <v>23</v>
      </c>
      <c r="O116" s="32" t="str">
        <f>MID(Table2[[#This Row],[Date_text]],4,2)</f>
        <v>03</v>
      </c>
      <c r="P116" t="str">
        <f>RIGHT(Table2[[#This Row],[Date_text]],2)</f>
        <v>25</v>
      </c>
    </row>
    <row r="117" spans="1:16" x14ac:dyDescent="0.25">
      <c r="A117" t="str">
        <f>IF(Raw_data!A130="",NA(),Raw_data!A130)</f>
        <v>ORD0129</v>
      </c>
      <c r="B117" s="1" t="str">
        <f>IF(Raw_data!B130="",NA(),Raw_data!B130)</f>
        <v>26-02-25</v>
      </c>
      <c r="C117" t="str">
        <f>IF(Raw_data!C130="",NA(),Raw_data!C130)</f>
        <v>Jeans</v>
      </c>
      <c r="D117" t="str">
        <f>IF(Raw_data!D130="",NA(),Raw_data!D130)</f>
        <v>Clothing</v>
      </c>
      <c r="E117">
        <f>IF(Raw_data!E130="",NA(),Raw_data!E130)</f>
        <v>40</v>
      </c>
      <c r="F117">
        <f>IF(Raw_data!F130="",NA(),Raw_data!F130)</f>
        <v>5</v>
      </c>
      <c r="G117">
        <f>IF(Raw_data!G130="",NA(),Raw_data!G130)</f>
        <v>200</v>
      </c>
      <c r="H117" t="str">
        <f>IF(Raw_data!H130="",NA(),Raw_data!H130)</f>
        <v>Emily Johnson</v>
      </c>
      <c r="I117" t="str">
        <f>IF(Raw_data!I130="",NA(),Raw_data!I130)</f>
        <v>New York</v>
      </c>
      <c r="J117" t="str">
        <f>IF(Raw_data!J130="",NA(),Raw_data!J130)</f>
        <v>Debit Card</v>
      </c>
      <c r="K117" t="str">
        <f>IF(Raw_data!K130="",NA(),Raw_data!K130)</f>
        <v>Pending</v>
      </c>
      <c r="L117">
        <f t="shared" si="2"/>
        <v>1</v>
      </c>
      <c r="M117" t="str">
        <f t="shared" si="3"/>
        <v>26-02-25</v>
      </c>
      <c r="N117" t="str">
        <f>LEFT(Table2[[#This Row],[Date_text]],2)</f>
        <v>26</v>
      </c>
      <c r="O117" s="32" t="str">
        <f>MID(Table2[[#This Row],[Date_text]],4,2)</f>
        <v>02</v>
      </c>
      <c r="P117" t="str">
        <f>RIGHT(Table2[[#This Row],[Date_text]],2)</f>
        <v>25</v>
      </c>
    </row>
    <row r="118" spans="1:16" x14ac:dyDescent="0.25">
      <c r="A118" t="str">
        <f>IF(Raw_data!A131="",NA(),Raw_data!A131)</f>
        <v>ORD0130</v>
      </c>
      <c r="B118" s="1">
        <f>IF(Raw_data!B131="",NA(),Raw_data!B131)</f>
        <v>45932</v>
      </c>
      <c r="C118" t="str">
        <f>IF(Raw_data!C131="",NA(),Raw_data!C131)</f>
        <v>Smartwatch</v>
      </c>
      <c r="D118" t="str">
        <f>IF(Raw_data!D131="",NA(),Raw_data!D131)</f>
        <v>Electronics</v>
      </c>
      <c r="E118">
        <v>150</v>
      </c>
      <c r="F118">
        <f>IF(Raw_data!F131="",NA(),Raw_data!F131)</f>
        <v>5</v>
      </c>
      <c r="G118">
        <f>IF(Raw_data!G131="",NA(),Raw_data!G131)</f>
        <v>750</v>
      </c>
      <c r="H118" t="str">
        <f>IF(Raw_data!H131="",NA(),Raw_data!H131)</f>
        <v>David Lee</v>
      </c>
      <c r="I118" t="str">
        <f>IF(Raw_data!I131="",NA(),Raw_data!I131)</f>
        <v>Boston</v>
      </c>
      <c r="J118" t="str">
        <f>IF(Raw_data!J131="",NA(),Raw_data!J131)</f>
        <v>PayPal</v>
      </c>
      <c r="K118" t="str">
        <f>IF(Raw_data!K131="",NA(),Raw_data!K131)</f>
        <v>Completed</v>
      </c>
      <c r="L118">
        <f t="shared" si="2"/>
        <v>1</v>
      </c>
      <c r="M118" t="str">
        <f t="shared" si="3"/>
        <v>02-10-25</v>
      </c>
      <c r="N118" t="str">
        <f>LEFT(Table2[[#This Row],[Date_text]],2)</f>
        <v>02</v>
      </c>
      <c r="O118" s="32" t="str">
        <f>MID(Table2[[#This Row],[Date_text]],4,2)</f>
        <v>10</v>
      </c>
      <c r="P118" t="str">
        <f>RIGHT(Table2[[#This Row],[Date_text]],2)</f>
        <v>25</v>
      </c>
    </row>
    <row r="119" spans="1:16" x14ac:dyDescent="0.25">
      <c r="A119" t="str">
        <f>IF(Raw_data!A134="",NA(),Raw_data!A134)</f>
        <v>ORD0133</v>
      </c>
      <c r="B119" s="1" t="str">
        <f>IF(Raw_data!B134="",NA(),Raw_data!B134)</f>
        <v>23-02-25</v>
      </c>
      <c r="C119" t="str">
        <f>IF(Raw_data!C134="",NA(),Raw_data!C134)</f>
        <v>Laptop</v>
      </c>
      <c r="D119" t="str">
        <f>IF(Raw_data!D134="",NA(),Raw_data!D134)</f>
        <v>Electronics</v>
      </c>
      <c r="E119">
        <f>IF(Raw_data!E134="",NA(),Raw_data!E134)</f>
        <v>800</v>
      </c>
      <c r="F119">
        <f>IF(Raw_data!F134="",NA(),Raw_data!F134)</f>
        <v>1</v>
      </c>
      <c r="G119">
        <f>IF(Raw_data!G134="",NA(),Raw_data!G134)</f>
        <v>800</v>
      </c>
      <c r="H119" t="str">
        <f>IF(Raw_data!H134="",NA(),Raw_data!H134)</f>
        <v>Emily Johnson</v>
      </c>
      <c r="I119" t="str">
        <f>IF(Raw_data!I134="",NA(),Raw_data!I134)</f>
        <v>New York</v>
      </c>
      <c r="J119" t="str">
        <f>IF(Raw_data!J134="",NA(),Raw_data!J134)</f>
        <v>Amazon Pay</v>
      </c>
      <c r="K119" t="str">
        <f>IF(Raw_data!K134="",NA(),Raw_data!K134)</f>
        <v>Pending</v>
      </c>
      <c r="L119">
        <f t="shared" si="2"/>
        <v>1</v>
      </c>
      <c r="M119" t="str">
        <f t="shared" si="3"/>
        <v>23-02-25</v>
      </c>
      <c r="N119" t="str">
        <f>LEFT(Table2[[#This Row],[Date_text]],2)</f>
        <v>23</v>
      </c>
      <c r="O119" s="32" t="str">
        <f>MID(Table2[[#This Row],[Date_text]],4,2)</f>
        <v>02</v>
      </c>
      <c r="P119" t="str">
        <f>RIGHT(Table2[[#This Row],[Date_text]],2)</f>
        <v>25</v>
      </c>
    </row>
    <row r="120" spans="1:16" x14ac:dyDescent="0.25">
      <c r="A120" t="str">
        <f>IF(Raw_data!A135="",NA(),Raw_data!A135)</f>
        <v>ORD0134</v>
      </c>
      <c r="B120" s="1">
        <f>IF(Raw_data!B135="",NA(),Raw_data!B135)</f>
        <v>45840</v>
      </c>
      <c r="C120" t="str">
        <f>IF(Raw_data!C135="",NA(),Raw_data!C135)</f>
        <v>Smartphone</v>
      </c>
      <c r="D120" t="str">
        <f>IF(Raw_data!D135="",NA(),Raw_data!D135)</f>
        <v>Electronics</v>
      </c>
      <c r="E120">
        <f>IF(Raw_data!E135="",NA(),Raw_data!E135)</f>
        <v>500</v>
      </c>
      <c r="F120">
        <f>IF(Raw_data!F135="",NA(),Raw_data!F135)</f>
        <v>5</v>
      </c>
      <c r="G120">
        <f>IF(Raw_data!G135="",NA(),Raw_data!G135)</f>
        <v>2500</v>
      </c>
      <c r="H120" t="str">
        <f>IF(Raw_data!H135="",NA(),Raw_data!H135)</f>
        <v>David Lee</v>
      </c>
      <c r="I120" t="str">
        <f>IF(Raw_data!I135="",NA(),Raw_data!I135)</f>
        <v>Chicago</v>
      </c>
      <c r="J120" t="str">
        <f>IF(Raw_data!J135="",NA(),Raw_data!J135)</f>
        <v>Gift Card</v>
      </c>
      <c r="K120" t="str">
        <f>IF(Raw_data!K135="",NA(),Raw_data!K135)</f>
        <v>Pending</v>
      </c>
      <c r="L120">
        <f t="shared" si="2"/>
        <v>1</v>
      </c>
      <c r="M120" t="str">
        <f t="shared" si="3"/>
        <v>02-07-25</v>
      </c>
      <c r="N120" t="str">
        <f>LEFT(Table2[[#This Row],[Date_text]],2)</f>
        <v>02</v>
      </c>
      <c r="O120" s="32" t="str">
        <f>MID(Table2[[#This Row],[Date_text]],4,2)</f>
        <v>07</v>
      </c>
      <c r="P120" t="str">
        <f>RIGHT(Table2[[#This Row],[Date_text]],2)</f>
        <v>25</v>
      </c>
    </row>
    <row r="121" spans="1:16" x14ac:dyDescent="0.25">
      <c r="A121" t="str">
        <f>IF(Raw_data!A136="",NA(),Raw_data!A136)</f>
        <v>ORD0135</v>
      </c>
      <c r="B121" s="1">
        <f>IF(Raw_data!B136="",NA(),Raw_data!B136)</f>
        <v>45932</v>
      </c>
      <c r="C121" t="str">
        <f>IF(Raw_data!C136="",NA(),Raw_data!C136)</f>
        <v>T-Shirt</v>
      </c>
      <c r="D121" t="str">
        <f>IF(Raw_data!D136="",NA(),Raw_data!D136)</f>
        <v>Clothing</v>
      </c>
      <c r="E121">
        <f>IF(Raw_data!E136="",NA(),Raw_data!E136)</f>
        <v>20</v>
      </c>
      <c r="F121">
        <f>IF(Raw_data!F136="",NA(),Raw_data!F136)</f>
        <v>1</v>
      </c>
      <c r="G121">
        <f>IF(Raw_data!G136="",NA(),Raw_data!G136)</f>
        <v>20</v>
      </c>
      <c r="H121" t="str">
        <f>IF(Raw_data!H136="",NA(),Raw_data!H136)</f>
        <v>Olivia Wilson</v>
      </c>
      <c r="I121" t="str">
        <f>IF(Raw_data!I136="",NA(),Raw_data!I136)</f>
        <v>Miami</v>
      </c>
      <c r="J121" t="str">
        <f>IF(Raw_data!J136="",NA(),Raw_data!J136)</f>
        <v>Credit Card</v>
      </c>
      <c r="K121" t="str">
        <f>IF(Raw_data!K136="",NA(),Raw_data!K136)</f>
        <v>Pending</v>
      </c>
      <c r="L121">
        <f t="shared" si="2"/>
        <v>1</v>
      </c>
      <c r="M121" t="str">
        <f t="shared" si="3"/>
        <v>02-10-25</v>
      </c>
      <c r="N121" t="str">
        <f>LEFT(Table2[[#This Row],[Date_text]],2)</f>
        <v>02</v>
      </c>
      <c r="O121" s="32" t="str">
        <f>MID(Table2[[#This Row],[Date_text]],4,2)</f>
        <v>10</v>
      </c>
      <c r="P121" t="str">
        <f>RIGHT(Table2[[#This Row],[Date_text]],2)</f>
        <v>25</v>
      </c>
    </row>
    <row r="122" spans="1:16" x14ac:dyDescent="0.25">
      <c r="A122" t="str">
        <f>IF(Raw_data!A137="",NA(),Raw_data!A137)</f>
        <v>ORD0136</v>
      </c>
      <c r="B122" s="1">
        <f>IF(Raw_data!B137="",NA(),Raw_data!B137)</f>
        <v>45963</v>
      </c>
      <c r="C122" t="str">
        <f>IF(Raw_data!C137="",NA(),Raw_data!C137)</f>
        <v>Refrigerator</v>
      </c>
      <c r="D122" t="str">
        <f>IF(Raw_data!D137="",NA(),Raw_data!D137)</f>
        <v>Home Appliances</v>
      </c>
      <c r="E122">
        <f>IF(Raw_data!E137="",NA(),Raw_data!E137)</f>
        <v>1200</v>
      </c>
      <c r="F122">
        <f>IF(Raw_data!F137="",NA(),Raw_data!F137)</f>
        <v>2</v>
      </c>
      <c r="G122">
        <f>IF(Raw_data!G137="",NA(),Raw_data!G137)</f>
        <v>2400</v>
      </c>
      <c r="H122" t="str">
        <f>IF(Raw_data!H137="",NA(),Raw_data!H137)</f>
        <v>Daniel Harris</v>
      </c>
      <c r="I122" t="str">
        <f>IF(Raw_data!I137="",NA(),Raw_data!I137)</f>
        <v>San Francisco</v>
      </c>
      <c r="J122" t="str">
        <f>IF(Raw_data!J137="",NA(),Raw_data!J137)</f>
        <v>PayPal</v>
      </c>
      <c r="K122" t="str">
        <f>IF(Raw_data!K137="",NA(),Raw_data!K137)</f>
        <v>Cancelled</v>
      </c>
      <c r="L122">
        <f t="shared" si="2"/>
        <v>1</v>
      </c>
      <c r="M122" t="str">
        <f t="shared" si="3"/>
        <v>02-11-25</v>
      </c>
      <c r="N122" t="str">
        <f>LEFT(Table2[[#This Row],[Date_text]],2)</f>
        <v>02</v>
      </c>
      <c r="O122" s="32" t="str">
        <f>MID(Table2[[#This Row],[Date_text]],4,2)</f>
        <v>11</v>
      </c>
      <c r="P122" t="str">
        <f>RIGHT(Table2[[#This Row],[Date_text]],2)</f>
        <v>25</v>
      </c>
    </row>
    <row r="123" spans="1:16" x14ac:dyDescent="0.25">
      <c r="A123" t="str">
        <f>IF(Raw_data!A138="",NA(),Raw_data!A138)</f>
        <v>ORD0137</v>
      </c>
      <c r="B123" s="1" t="str">
        <f>IF(Raw_data!B138="",NA(),Raw_data!B138)</f>
        <v>20-03-25</v>
      </c>
      <c r="C123" t="str">
        <f>IF(Raw_data!C138="",NA(),Raw_data!C138)</f>
        <v>Smartwatch</v>
      </c>
      <c r="D123" t="str">
        <f>IF(Raw_data!D138="",NA(),Raw_data!D138)</f>
        <v>Electronics</v>
      </c>
      <c r="E123">
        <f>IF(Raw_data!E138="",NA(),Raw_data!E138)</f>
        <v>150</v>
      </c>
      <c r="F123">
        <f>IF(Raw_data!F138="",NA(),Raw_data!F138)</f>
        <v>3</v>
      </c>
      <c r="G123">
        <f>IF(Raw_data!G138="",NA(),Raw_data!G138)</f>
        <v>450</v>
      </c>
      <c r="H123" t="str">
        <f>IF(Raw_data!H138="",NA(),Raw_data!H138)</f>
        <v>Sophia Miller</v>
      </c>
      <c r="I123" t="str">
        <f>IF(Raw_data!I138="",NA(),Raw_data!I138)</f>
        <v>San Francisco</v>
      </c>
      <c r="J123" t="str">
        <f>IF(Raw_data!J138="",NA(),Raw_data!J138)</f>
        <v>Debit Card</v>
      </c>
      <c r="K123" t="str">
        <f>IF(Raw_data!K138="",NA(),Raw_data!K138)</f>
        <v>Completed</v>
      </c>
      <c r="L123">
        <f t="shared" si="2"/>
        <v>1</v>
      </c>
      <c r="M123" t="str">
        <f t="shared" si="3"/>
        <v>20-03-25</v>
      </c>
      <c r="N123" t="str">
        <f>LEFT(Table2[[#This Row],[Date_text]],2)</f>
        <v>20</v>
      </c>
      <c r="O123" s="32" t="str">
        <f>MID(Table2[[#This Row],[Date_text]],4,2)</f>
        <v>03</v>
      </c>
      <c r="P123" t="str">
        <f>RIGHT(Table2[[#This Row],[Date_text]],2)</f>
        <v>25</v>
      </c>
    </row>
    <row r="124" spans="1:16" x14ac:dyDescent="0.25">
      <c r="A124" t="str">
        <f>IF(Raw_data!A139="",NA(),Raw_data!A139)</f>
        <v>ORD0138</v>
      </c>
      <c r="B124" s="1">
        <f>IF(Raw_data!B139="",NA(),Raw_data!B139)</f>
        <v>45963</v>
      </c>
      <c r="C124" t="str">
        <f>IF(Raw_data!C139="",NA(),Raw_data!C139)</f>
        <v>Smartwatch</v>
      </c>
      <c r="D124" t="str">
        <f>IF(Raw_data!D139="",NA(),Raw_data!D139)</f>
        <v>Electronics</v>
      </c>
      <c r="E124">
        <f>IF(Raw_data!E139="",NA(),Raw_data!E139)</f>
        <v>150</v>
      </c>
      <c r="F124">
        <f>IF(Raw_data!F139="",NA(),Raw_data!F139)</f>
        <v>5</v>
      </c>
      <c r="G124">
        <f>IF(Raw_data!G139="",NA(),Raw_data!G139)</f>
        <v>750</v>
      </c>
      <c r="H124" t="str">
        <f>IF(Raw_data!H139="",NA(),Raw_data!H139)</f>
        <v>John Doe</v>
      </c>
      <c r="I124" t="str">
        <f>IF(Raw_data!I139="",NA(),Raw_data!I139)</f>
        <v>Los Angeles</v>
      </c>
      <c r="J124" t="str">
        <f>IF(Raw_data!J139="",NA(),Raw_data!J139)</f>
        <v>Credit Card</v>
      </c>
      <c r="K124" t="str">
        <f>IF(Raw_data!K139="",NA(),Raw_data!K139)</f>
        <v>Cancelled</v>
      </c>
      <c r="L124">
        <f t="shared" si="2"/>
        <v>1</v>
      </c>
      <c r="M124" t="str">
        <f t="shared" si="3"/>
        <v>02-11-25</v>
      </c>
      <c r="N124" t="str">
        <f>LEFT(Table2[[#This Row],[Date_text]],2)</f>
        <v>02</v>
      </c>
      <c r="O124" s="32" t="str">
        <f>MID(Table2[[#This Row],[Date_text]],4,2)</f>
        <v>11</v>
      </c>
      <c r="P124" t="str">
        <f>RIGHT(Table2[[#This Row],[Date_text]],2)</f>
        <v>25</v>
      </c>
    </row>
    <row r="125" spans="1:16" x14ac:dyDescent="0.25">
      <c r="A125" t="str">
        <f>IF(Raw_data!A140="",NA(),Raw_data!A140)</f>
        <v>ORD0139</v>
      </c>
      <c r="B125" s="1" t="str">
        <f>IF(Raw_data!B140="",NA(),Raw_data!B140)</f>
        <v>18-03-25</v>
      </c>
      <c r="C125" t="str">
        <f>IF(Raw_data!C140="",NA(),Raw_data!C140)</f>
        <v>Laptop</v>
      </c>
      <c r="D125" t="s">
        <v>22</v>
      </c>
      <c r="E125">
        <f>IF(Raw_data!E140="",NA(),Raw_data!E140)</f>
        <v>800</v>
      </c>
      <c r="F125">
        <v>3</v>
      </c>
      <c r="G125">
        <f>IF(Raw_data!G140="",NA(),Raw_data!G140)</f>
        <v>1600</v>
      </c>
      <c r="H125" t="str">
        <f>IF(Raw_data!H140="",NA(),Raw_data!H140)</f>
        <v>Michael Brown</v>
      </c>
      <c r="I125" t="str">
        <f>IF(Raw_data!I140="",NA(),Raw_data!I140)</f>
        <v>Denver</v>
      </c>
      <c r="J125" t="str">
        <f>IF(Raw_data!J140="",NA(),Raw_data!J140)</f>
        <v>PayPal</v>
      </c>
      <c r="K125" t="str">
        <f>IF(Raw_data!K140="",NA(),Raw_data!K140)</f>
        <v>Cancelled</v>
      </c>
      <c r="L125">
        <f t="shared" si="2"/>
        <v>1</v>
      </c>
      <c r="M125" t="str">
        <f t="shared" si="3"/>
        <v>18-03-25</v>
      </c>
      <c r="N125" t="str">
        <f>LEFT(Table2[[#This Row],[Date_text]],2)</f>
        <v>18</v>
      </c>
      <c r="O125" s="32" t="str">
        <f>MID(Table2[[#This Row],[Date_text]],4,2)</f>
        <v>03</v>
      </c>
      <c r="P125" t="str">
        <f>RIGHT(Table2[[#This Row],[Date_text]],2)</f>
        <v>25</v>
      </c>
    </row>
    <row r="126" spans="1:16" x14ac:dyDescent="0.25">
      <c r="A126" t="str">
        <f>IF(Raw_data!A141="",NA(),Raw_data!A141)</f>
        <v>ORD0140</v>
      </c>
      <c r="B126" s="1" t="str">
        <f>IF(Raw_data!B141="",NA(),Raw_data!B141)</f>
        <v>19-03-25</v>
      </c>
      <c r="C126" t="str">
        <f>IF(Raw_data!C141="",NA(),Raw_data!C141)</f>
        <v>Smartwatch</v>
      </c>
      <c r="D126" t="str">
        <f>IF(Raw_data!D141="",NA(),Raw_data!D141)</f>
        <v>Electronics</v>
      </c>
      <c r="E126">
        <f>IF(Raw_data!E141="",NA(),Raw_data!E141)</f>
        <v>150</v>
      </c>
      <c r="F126">
        <f>IF(Raw_data!F141="",NA(),Raw_data!F141)</f>
        <v>2</v>
      </c>
      <c r="G126">
        <f>IF(Raw_data!G141="",NA(),Raw_data!G141)</f>
        <v>300</v>
      </c>
      <c r="H126" t="str">
        <f>IF(Raw_data!H141="",NA(),Raw_data!H141)</f>
        <v>Olivia Wilson</v>
      </c>
      <c r="I126" t="str">
        <f>IF(Raw_data!I141="",NA(),Raw_data!I141)</f>
        <v>Miami</v>
      </c>
      <c r="J126" t="str">
        <f>IF(Raw_data!J141="",NA(),Raw_data!J141)</f>
        <v>Debit Card</v>
      </c>
      <c r="K126" t="str">
        <f>IF(Raw_data!K141="",NA(),Raw_data!K141)</f>
        <v>Completed</v>
      </c>
      <c r="L126">
        <f t="shared" si="2"/>
        <v>1</v>
      </c>
      <c r="M126" t="str">
        <f t="shared" si="3"/>
        <v>19-03-25</v>
      </c>
      <c r="N126" t="str">
        <f>LEFT(Table2[[#This Row],[Date_text]],2)</f>
        <v>19</v>
      </c>
      <c r="O126" s="32" t="str">
        <f>MID(Table2[[#This Row],[Date_text]],4,2)</f>
        <v>03</v>
      </c>
      <c r="P126" t="str">
        <f>RIGHT(Table2[[#This Row],[Date_text]],2)</f>
        <v>25</v>
      </c>
    </row>
    <row r="127" spans="1:16" x14ac:dyDescent="0.25">
      <c r="A127" t="str">
        <f>IF(Raw_data!A142="",NA(),Raw_data!A142)</f>
        <v>ORD0141</v>
      </c>
      <c r="B127" s="1" t="str">
        <f>IF(Raw_data!B142="",NA(),Raw_data!B142)</f>
        <v>21-03-25</v>
      </c>
      <c r="C127" t="str">
        <f>IF(Raw_data!C142="",NA(),Raw_data!C142)</f>
        <v>Smartphone</v>
      </c>
      <c r="D127" t="str">
        <f>IF(Raw_data!D142="",NA(),Raw_data!D142)</f>
        <v>Electronics</v>
      </c>
      <c r="E127">
        <f>IF(Raw_data!E142="",NA(),Raw_data!E142)</f>
        <v>500</v>
      </c>
      <c r="F127">
        <f>IF(Raw_data!F142="",NA(),Raw_data!F142)</f>
        <v>2</v>
      </c>
      <c r="G127">
        <f>IF(Raw_data!G142="",NA(),Raw_data!G142)</f>
        <v>1000</v>
      </c>
      <c r="H127" t="str">
        <f>IF(Raw_data!H142="",NA(),Raw_data!H142)</f>
        <v>John Doe</v>
      </c>
      <c r="I127" t="str">
        <f>IF(Raw_data!I142="",NA(),Raw_data!I142)</f>
        <v>Miami</v>
      </c>
      <c r="J127" t="str">
        <f>IF(Raw_data!J142="",NA(),Raw_data!J142)</f>
        <v>PayPal</v>
      </c>
      <c r="K127" t="str">
        <f>IF(Raw_data!K142="",NA(),Raw_data!K142)</f>
        <v>Completed</v>
      </c>
      <c r="L127">
        <f t="shared" si="2"/>
        <v>1</v>
      </c>
      <c r="M127" t="str">
        <f t="shared" si="3"/>
        <v>21-03-25</v>
      </c>
      <c r="N127" t="str">
        <f>LEFT(Table2[[#This Row],[Date_text]],2)</f>
        <v>21</v>
      </c>
      <c r="O127" s="32" t="str">
        <f>MID(Table2[[#This Row],[Date_text]],4,2)</f>
        <v>03</v>
      </c>
      <c r="P127" t="str">
        <f>RIGHT(Table2[[#This Row],[Date_text]],2)</f>
        <v>25</v>
      </c>
    </row>
    <row r="128" spans="1:16" x14ac:dyDescent="0.25">
      <c r="A128" t="str">
        <f>IF(Raw_data!A143="",NA(),Raw_data!A143)</f>
        <v>ORD0142</v>
      </c>
      <c r="B128" s="1" t="str">
        <f>IF(Raw_data!B143="",NA(),Raw_data!B143)</f>
        <v>15-03-25</v>
      </c>
      <c r="C128" t="str">
        <f>IF(Raw_data!C143="",NA(),Raw_data!C143)</f>
        <v>Smartphone</v>
      </c>
      <c r="D128" t="str">
        <f>IF(Raw_data!D143="",NA(),Raw_data!D143)</f>
        <v>Electronics</v>
      </c>
      <c r="E128">
        <f>IF(Raw_data!E143="",NA(),Raw_data!E143)</f>
        <v>500</v>
      </c>
      <c r="F128">
        <f>IF(Raw_data!F143="",NA(),Raw_data!F143)</f>
        <v>3</v>
      </c>
      <c r="G128">
        <f>IF(Raw_data!G143="",NA(),Raw_data!G143)</f>
        <v>1500</v>
      </c>
      <c r="H128" t="str">
        <f>IF(Raw_data!H143="",NA(),Raw_data!H143)</f>
        <v>Sophia Miller</v>
      </c>
      <c r="I128" t="str">
        <f>IF(Raw_data!I143="",NA(),Raw_data!I143)</f>
        <v>Miami</v>
      </c>
      <c r="J128" t="str">
        <f>IF(Raw_data!J143="",NA(),Raw_data!J143)</f>
        <v>Gift Card</v>
      </c>
      <c r="K128" t="str">
        <f>IF(Raw_data!K143="",NA(),Raw_data!K143)</f>
        <v>Completed</v>
      </c>
      <c r="L128">
        <f t="shared" si="2"/>
        <v>1</v>
      </c>
      <c r="M128" t="str">
        <f t="shared" si="3"/>
        <v>15-03-25</v>
      </c>
      <c r="N128" t="str">
        <f>LEFT(Table2[[#This Row],[Date_text]],2)</f>
        <v>15</v>
      </c>
      <c r="O128" s="32" t="str">
        <f>MID(Table2[[#This Row],[Date_text]],4,2)</f>
        <v>03</v>
      </c>
      <c r="P128" t="str">
        <f>RIGHT(Table2[[#This Row],[Date_text]],2)</f>
        <v>25</v>
      </c>
    </row>
    <row r="129" spans="1:16" x14ac:dyDescent="0.25">
      <c r="A129" t="str">
        <f>IF(Raw_data!A145="",NA(),Raw_data!A145)</f>
        <v>ORD0144</v>
      </c>
      <c r="B129" s="1" t="str">
        <f>IF(Raw_data!B145="",NA(),Raw_data!B145)</f>
        <v>27-02-25</v>
      </c>
      <c r="C129" t="str">
        <f>IF(Raw_data!C145="",NA(),Raw_data!C145)</f>
        <v>Jeans</v>
      </c>
      <c r="D129" t="str">
        <f>IF(Raw_data!D145="",NA(),Raw_data!D145)</f>
        <v>Clothing</v>
      </c>
      <c r="E129">
        <f>IF(Raw_data!E145="",NA(),Raw_data!E145)</f>
        <v>40</v>
      </c>
      <c r="F129">
        <f>IF(Raw_data!F145="",NA(),Raw_data!F145)</f>
        <v>2</v>
      </c>
      <c r="G129">
        <f>IF(Raw_data!G145="",NA(),Raw_data!G145)</f>
        <v>80</v>
      </c>
      <c r="H129" t="str">
        <f>IF(Raw_data!H145="",NA(),Raw_data!H145)</f>
        <v>Michael Brown</v>
      </c>
      <c r="I129" t="str">
        <f>IF(Raw_data!I145="",NA(),Raw_data!I145)</f>
        <v>Los Angeles</v>
      </c>
      <c r="J129" t="str">
        <f>IF(Raw_data!J145="",NA(),Raw_data!J145)</f>
        <v>Gift Card</v>
      </c>
      <c r="K129" t="str">
        <f>IF(Raw_data!K145="",NA(),Raw_data!K145)</f>
        <v>Cancelled</v>
      </c>
      <c r="L129">
        <f t="shared" si="2"/>
        <v>1</v>
      </c>
      <c r="M129" t="str">
        <f t="shared" si="3"/>
        <v>27-02-25</v>
      </c>
      <c r="N129" t="str">
        <f>LEFT(Table2[[#This Row],[Date_text]],2)</f>
        <v>27</v>
      </c>
      <c r="O129" s="32" t="str">
        <f>MID(Table2[[#This Row],[Date_text]],4,2)</f>
        <v>02</v>
      </c>
      <c r="P129" t="str">
        <f>RIGHT(Table2[[#This Row],[Date_text]],2)</f>
        <v>25</v>
      </c>
    </row>
    <row r="130" spans="1:16" x14ac:dyDescent="0.25">
      <c r="A130" t="str">
        <f>IF(Raw_data!A146="",NA(),Raw_data!A146)</f>
        <v>ORD0145</v>
      </c>
      <c r="B130" s="1">
        <f>IF(Raw_data!B146="",NA(),Raw_data!B146)</f>
        <v>45872</v>
      </c>
      <c r="C130" t="str">
        <f>IF(Raw_data!C146="",NA(),Raw_data!C146)</f>
        <v>Smartwatch</v>
      </c>
      <c r="D130" t="str">
        <f>IF(Raw_data!D146="",NA(),Raw_data!D146)</f>
        <v>Electronics</v>
      </c>
      <c r="E130">
        <v>150</v>
      </c>
      <c r="F130">
        <f>IF(Raw_data!F146="",NA(),Raw_data!F146)</f>
        <v>2</v>
      </c>
      <c r="G130">
        <f>IF(Raw_data!G146="",NA(),Raw_data!G146)</f>
        <v>300</v>
      </c>
      <c r="H130" t="str">
        <f>IF(Raw_data!H146="",NA(),Raw_data!H146)</f>
        <v>Michael Brown</v>
      </c>
      <c r="I130" t="str">
        <f>IF(Raw_data!I146="",NA(),Raw_data!I146)</f>
        <v>Seattle</v>
      </c>
      <c r="J130" t="str">
        <f>IF(Raw_data!J146="",NA(),Raw_data!J146)</f>
        <v>Debit Card</v>
      </c>
      <c r="K130" t="str">
        <f>IF(Raw_data!K146="",NA(),Raw_data!K146)</f>
        <v>Cancelled</v>
      </c>
      <c r="L130">
        <f t="shared" ref="L130:L193" si="4">COUNTIFS(A:A,A130,B:B,B130,C:C,C130,D:D,D130,E:E,E130,F:F,F130,G:G,G130,H:H,H130,I:I,I130,J:J,J130,K:K,K130)</f>
        <v>1</v>
      </c>
      <c r="M130" t="str">
        <f t="shared" ref="M130:M193" si="5">TEXT(B130,"dd-mm-yy")</f>
        <v>03-08-25</v>
      </c>
      <c r="N130" t="str">
        <f>LEFT(Table2[[#This Row],[Date_text]],2)</f>
        <v>03</v>
      </c>
      <c r="O130" s="32" t="str">
        <f>MID(Table2[[#This Row],[Date_text]],4,2)</f>
        <v>08</v>
      </c>
      <c r="P130" t="str">
        <f>RIGHT(Table2[[#This Row],[Date_text]],2)</f>
        <v>25</v>
      </c>
    </row>
    <row r="131" spans="1:16" x14ac:dyDescent="0.25">
      <c r="A131" t="str">
        <f>IF(Raw_data!A147="",NA(),Raw_data!A147)</f>
        <v>ORD0146</v>
      </c>
      <c r="B131" s="1" t="str">
        <f>IF(Raw_data!B147="",NA(),Raw_data!B147)</f>
        <v>25-03-25</v>
      </c>
      <c r="C131" t="str">
        <f>IF(Raw_data!C147="",NA(),Raw_data!C147)</f>
        <v>Smartwatch</v>
      </c>
      <c r="D131" t="str">
        <f>IF(Raw_data!D147="",NA(),Raw_data!D147)</f>
        <v>Electronics</v>
      </c>
      <c r="E131">
        <f>IF(Raw_data!E147="",NA(),Raw_data!E147)</f>
        <v>150</v>
      </c>
      <c r="F131">
        <f>IF(Raw_data!F147="",NA(),Raw_data!F147)</f>
        <v>2</v>
      </c>
      <c r="G131">
        <f>IF(Raw_data!G147="",NA(),Raw_data!G147)</f>
        <v>300</v>
      </c>
      <c r="H131" t="str">
        <f>IF(Raw_data!H147="",NA(),Raw_data!H147)</f>
        <v>Emma Clark</v>
      </c>
      <c r="I131" t="str">
        <f>IF(Raw_data!I147="",NA(),Raw_data!I147)</f>
        <v>Boston</v>
      </c>
      <c r="J131" t="str">
        <f>IF(Raw_data!J147="",NA(),Raw_data!J147)</f>
        <v>Debit Card</v>
      </c>
      <c r="K131" t="str">
        <f>IF(Raw_data!K147="",NA(),Raw_data!K147)</f>
        <v>Completed</v>
      </c>
      <c r="L131">
        <f t="shared" si="4"/>
        <v>1</v>
      </c>
      <c r="M131" t="str">
        <f t="shared" si="5"/>
        <v>25-03-25</v>
      </c>
      <c r="N131" t="str">
        <f>LEFT(Table2[[#This Row],[Date_text]],2)</f>
        <v>25</v>
      </c>
      <c r="O131" s="32" t="str">
        <f>MID(Table2[[#This Row],[Date_text]],4,2)</f>
        <v>03</v>
      </c>
      <c r="P131" t="str">
        <f>RIGHT(Table2[[#This Row],[Date_text]],2)</f>
        <v>25</v>
      </c>
    </row>
    <row r="132" spans="1:16" x14ac:dyDescent="0.25">
      <c r="A132" t="str">
        <f>IF(Raw_data!A149="",NA(),Raw_data!A149)</f>
        <v>ORD0148</v>
      </c>
      <c r="B132" s="1">
        <f>IF(Raw_data!B149="",NA(),Raw_data!B149)</f>
        <v>45810</v>
      </c>
      <c r="C132" t="str">
        <f>IF(Raw_data!C149="",NA(),Raw_data!C149)</f>
        <v>Headphones</v>
      </c>
      <c r="D132" t="str">
        <f>IF(Raw_data!D149="",NA(),Raw_data!D149)</f>
        <v>Electronics</v>
      </c>
      <c r="E132">
        <f>IF(Raw_data!E149="",NA(),Raw_data!E149)</f>
        <v>100</v>
      </c>
      <c r="F132">
        <f>IF(Raw_data!F149="",NA(),Raw_data!F149)</f>
        <v>4</v>
      </c>
      <c r="G132">
        <f>IF(Raw_data!G149="",NA(),Raw_data!G149)</f>
        <v>400</v>
      </c>
      <c r="H132" t="str">
        <f>IF(Raw_data!H149="",NA(),Raw_data!H149)</f>
        <v>Emily Johnson</v>
      </c>
      <c r="I132" t="str">
        <f>IF(Raw_data!I149="",NA(),Raw_data!I149)</f>
        <v>Los Angeles</v>
      </c>
      <c r="J132" t="str">
        <f>IF(Raw_data!J149="",NA(),Raw_data!J149)</f>
        <v>Amazon Pay</v>
      </c>
      <c r="K132" t="str">
        <f>IF(Raw_data!K149="",NA(),Raw_data!K149)</f>
        <v>Cancelled</v>
      </c>
      <c r="L132">
        <f t="shared" si="4"/>
        <v>1</v>
      </c>
      <c r="M132" t="str">
        <f t="shared" si="5"/>
        <v>02-06-25</v>
      </c>
      <c r="N132" t="str">
        <f>LEFT(Table2[[#This Row],[Date_text]],2)</f>
        <v>02</v>
      </c>
      <c r="O132" s="32" t="str">
        <f>MID(Table2[[#This Row],[Date_text]],4,2)</f>
        <v>06</v>
      </c>
      <c r="P132" t="str">
        <f>RIGHT(Table2[[#This Row],[Date_text]],2)</f>
        <v>25</v>
      </c>
    </row>
    <row r="133" spans="1:16" x14ac:dyDescent="0.25">
      <c r="A133" t="str">
        <f>IF(Raw_data!A150="",NA(),Raw_data!A150)</f>
        <v>ORD0149</v>
      </c>
      <c r="B133" s="1" t="str">
        <f>IF(Raw_data!B150="",NA(),Raw_data!B150)</f>
        <v>20-03-25</v>
      </c>
      <c r="C133" t="str">
        <f>IF(Raw_data!C150="",NA(),Raw_data!C150)</f>
        <v>Running Shoes</v>
      </c>
      <c r="D133" t="str">
        <f>IF(Raw_data!D150="",NA(),Raw_data!D150)</f>
        <v>Footwear</v>
      </c>
      <c r="E133">
        <f>IF(Raw_data!E150="",NA(),Raw_data!E150)</f>
        <v>60</v>
      </c>
      <c r="F133">
        <f>IF(Raw_data!F150="",NA(),Raw_data!F150)</f>
        <v>3</v>
      </c>
      <c r="G133">
        <f>IF(Raw_data!G150="",NA(),Raw_data!G150)</f>
        <v>180</v>
      </c>
      <c r="H133" t="str">
        <f>IF(Raw_data!H150="",NA(),Raw_data!H150)</f>
        <v>Michael Brown</v>
      </c>
      <c r="I133" t="str">
        <f>IF(Raw_data!I150="",NA(),Raw_data!I150)</f>
        <v>New York</v>
      </c>
      <c r="J133" t="str">
        <f>IF(Raw_data!J150="",NA(),Raw_data!J150)</f>
        <v>Gift Card</v>
      </c>
      <c r="K133" t="str">
        <f>IF(Raw_data!K150="",NA(),Raw_data!K150)</f>
        <v>Pending</v>
      </c>
      <c r="L133">
        <f t="shared" si="4"/>
        <v>1</v>
      </c>
      <c r="M133" t="str">
        <f t="shared" si="5"/>
        <v>20-03-25</v>
      </c>
      <c r="N133" t="str">
        <f>LEFT(Table2[[#This Row],[Date_text]],2)</f>
        <v>20</v>
      </c>
      <c r="O133" s="32" t="str">
        <f>MID(Table2[[#This Row],[Date_text]],4,2)</f>
        <v>03</v>
      </c>
      <c r="P133" t="str">
        <f>RIGHT(Table2[[#This Row],[Date_text]],2)</f>
        <v>25</v>
      </c>
    </row>
    <row r="134" spans="1:16" x14ac:dyDescent="0.25">
      <c r="A134" t="str">
        <f>IF(Raw_data!A151="",NA(),Raw_data!A151)</f>
        <v>ORD0150</v>
      </c>
      <c r="B134" s="1">
        <f>IF(Raw_data!B151="",NA(),Raw_data!B151)</f>
        <v>45871</v>
      </c>
      <c r="C134" t="str">
        <f>IF(Raw_data!C151="",NA(),Raw_data!C151)</f>
        <v>Book</v>
      </c>
      <c r="D134" t="str">
        <f>IF(Raw_data!D151="",NA(),Raw_data!D151)</f>
        <v>Books</v>
      </c>
      <c r="E134">
        <f>IF(Raw_data!E151="",NA(),Raw_data!E151)</f>
        <v>15</v>
      </c>
      <c r="F134">
        <f>IF(Raw_data!F151="",NA(),Raw_data!F151)</f>
        <v>4</v>
      </c>
      <c r="G134">
        <f>IF(Raw_data!G151="",NA(),Raw_data!G151)</f>
        <v>60</v>
      </c>
      <c r="H134" t="str">
        <f>IF(Raw_data!H151="",NA(),Raw_data!H151)</f>
        <v>Daniel Harris</v>
      </c>
      <c r="I134" t="str">
        <f>IF(Raw_data!I151="",NA(),Raw_data!I151)</f>
        <v>Chicago</v>
      </c>
      <c r="J134" t="str">
        <f>IF(Raw_data!J151="",NA(),Raw_data!J151)</f>
        <v>Gift Card</v>
      </c>
      <c r="K134" t="str">
        <f>IF(Raw_data!K151="",NA(),Raw_data!K151)</f>
        <v>Cancelled</v>
      </c>
      <c r="L134">
        <f t="shared" si="4"/>
        <v>1</v>
      </c>
      <c r="M134" t="str">
        <f t="shared" si="5"/>
        <v>02-08-25</v>
      </c>
      <c r="N134" t="str">
        <f>LEFT(Table2[[#This Row],[Date_text]],2)</f>
        <v>02</v>
      </c>
      <c r="O134" s="32" t="str">
        <f>MID(Table2[[#This Row],[Date_text]],4,2)</f>
        <v>08</v>
      </c>
      <c r="P134" t="str">
        <f>RIGHT(Table2[[#This Row],[Date_text]],2)</f>
        <v>25</v>
      </c>
    </row>
    <row r="135" spans="1:16" x14ac:dyDescent="0.25">
      <c r="A135" t="str">
        <f>IF(Raw_data!A152="",NA(),Raw_data!A152)</f>
        <v>ORD0151</v>
      </c>
      <c r="B135" s="1" t="str">
        <f>IF(Raw_data!B152="",NA(),Raw_data!B152)</f>
        <v>29-03-25</v>
      </c>
      <c r="C135" t="str">
        <f>IF(Raw_data!C152="",NA(),Raw_data!C152)</f>
        <v>Washing Machine</v>
      </c>
      <c r="D135" t="str">
        <f>IF(Raw_data!D152="",NA(),Raw_data!D152)</f>
        <v>Home Appliances</v>
      </c>
      <c r="E135">
        <f>IF(Raw_data!E152="",NA(),Raw_data!E152)</f>
        <v>600</v>
      </c>
      <c r="F135">
        <v>3</v>
      </c>
      <c r="G135">
        <f>IF(Raw_data!G152="",NA(),Raw_data!G152)</f>
        <v>2400</v>
      </c>
      <c r="H135" t="str">
        <f>IF(Raw_data!H152="",NA(),Raw_data!H152)</f>
        <v>Jane Smith</v>
      </c>
      <c r="I135" t="str">
        <f>IF(Raw_data!I152="",NA(),Raw_data!I152)</f>
        <v>Los Angeles</v>
      </c>
      <c r="J135" t="str">
        <f>IF(Raw_data!J152="",NA(),Raw_data!J152)</f>
        <v>Amazon Pay</v>
      </c>
      <c r="K135" t="str">
        <f>IF(Raw_data!K152="",NA(),Raw_data!K152)</f>
        <v>Pending</v>
      </c>
      <c r="L135">
        <f t="shared" si="4"/>
        <v>1</v>
      </c>
      <c r="M135" t="str">
        <f t="shared" si="5"/>
        <v>29-03-25</v>
      </c>
      <c r="N135" t="str">
        <f>LEFT(Table2[[#This Row],[Date_text]],2)</f>
        <v>29</v>
      </c>
      <c r="O135" s="32" t="str">
        <f>MID(Table2[[#This Row],[Date_text]],4,2)</f>
        <v>03</v>
      </c>
      <c r="P135" t="str">
        <f>RIGHT(Table2[[#This Row],[Date_text]],2)</f>
        <v>25</v>
      </c>
    </row>
    <row r="136" spans="1:16" x14ac:dyDescent="0.25">
      <c r="A136" t="str">
        <f>IF(Raw_data!A153="",NA(),Raw_data!A153)</f>
        <v>ORD0152</v>
      </c>
      <c r="B136" s="1" t="str">
        <f>IF(Raw_data!B153="",NA(),Raw_data!B153)</f>
        <v>28-02-25</v>
      </c>
      <c r="C136" t="str">
        <f>IF(Raw_data!C153="",NA(),Raw_data!C153)</f>
        <v>Smartwatch</v>
      </c>
      <c r="D136" t="str">
        <f>IF(Raw_data!D153="",NA(),Raw_data!D153)</f>
        <v>Electronics</v>
      </c>
      <c r="E136">
        <f>IF(Raw_data!E153="",NA(),Raw_data!E153)</f>
        <v>150</v>
      </c>
      <c r="F136">
        <f>IF(Raw_data!F153="",NA(),Raw_data!F153)</f>
        <v>1</v>
      </c>
      <c r="G136">
        <f>IF(Raw_data!G153="",NA(),Raw_data!G153)</f>
        <v>150</v>
      </c>
      <c r="H136" t="str">
        <f>IF(Raw_data!H153="",NA(),Raw_data!H153)</f>
        <v>John Doe</v>
      </c>
      <c r="I136" t="str">
        <f>IF(Raw_data!I153="",NA(),Raw_data!I153)</f>
        <v>Seattle</v>
      </c>
      <c r="J136" t="str">
        <f>IF(Raw_data!J153="",NA(),Raw_data!J153)</f>
        <v>Gift Card</v>
      </c>
      <c r="K136" t="str">
        <f>IF(Raw_data!K153="",NA(),Raw_data!K153)</f>
        <v>Completed</v>
      </c>
      <c r="L136">
        <f t="shared" si="4"/>
        <v>1</v>
      </c>
      <c r="M136" t="str">
        <f t="shared" si="5"/>
        <v>28-02-25</v>
      </c>
      <c r="N136" t="str">
        <f>LEFT(Table2[[#This Row],[Date_text]],2)</f>
        <v>28</v>
      </c>
      <c r="O136" s="32" t="str">
        <f>MID(Table2[[#This Row],[Date_text]],4,2)</f>
        <v>02</v>
      </c>
      <c r="P136" t="str">
        <f>RIGHT(Table2[[#This Row],[Date_text]],2)</f>
        <v>25</v>
      </c>
    </row>
    <row r="137" spans="1:16" x14ac:dyDescent="0.25">
      <c r="A137" t="str">
        <f>IF(Raw_data!A154="",NA(),Raw_data!A154)</f>
        <v>ORD0153</v>
      </c>
      <c r="B137" s="1" t="str">
        <f>IF(Raw_data!B154="",NA(),Raw_data!B154)</f>
        <v>23-02-25</v>
      </c>
      <c r="C137" t="str">
        <f>IF(Raw_data!C154="",NA(),Raw_data!C154)</f>
        <v>Smartwatch</v>
      </c>
      <c r="D137" t="str">
        <f>IF(Raw_data!D154="",NA(),Raw_data!D154)</f>
        <v>Electronics</v>
      </c>
      <c r="E137">
        <f>IF(Raw_data!E154="",NA(),Raw_data!E154)</f>
        <v>150</v>
      </c>
      <c r="F137">
        <f>IF(Raw_data!F154="",NA(),Raw_data!F154)</f>
        <v>5</v>
      </c>
      <c r="G137">
        <f>IF(Raw_data!G154="",NA(),Raw_data!G154)</f>
        <v>750</v>
      </c>
      <c r="H137" t="str">
        <f>IF(Raw_data!H154="",NA(),Raw_data!H154)</f>
        <v>Sophia Miller</v>
      </c>
      <c r="I137" t="str">
        <f>IF(Raw_data!I154="",NA(),Raw_data!I154)</f>
        <v>San Francisco</v>
      </c>
      <c r="J137" t="str">
        <f>IF(Raw_data!J154="",NA(),Raw_data!J154)</f>
        <v>PayPal</v>
      </c>
      <c r="K137" t="str">
        <f>IF(Raw_data!K154="",NA(),Raw_data!K154)</f>
        <v>Pending</v>
      </c>
      <c r="L137">
        <f t="shared" si="4"/>
        <v>1</v>
      </c>
      <c r="M137" t="str">
        <f t="shared" si="5"/>
        <v>23-02-25</v>
      </c>
      <c r="N137" t="str">
        <f>LEFT(Table2[[#This Row],[Date_text]],2)</f>
        <v>23</v>
      </c>
      <c r="O137" s="32" t="str">
        <f>MID(Table2[[#This Row],[Date_text]],4,2)</f>
        <v>02</v>
      </c>
      <c r="P137" t="str">
        <f>RIGHT(Table2[[#This Row],[Date_text]],2)</f>
        <v>25</v>
      </c>
    </row>
    <row r="138" spans="1:16" x14ac:dyDescent="0.25">
      <c r="A138" t="str">
        <f>IF(Raw_data!A155="",NA(),Raw_data!A155)</f>
        <v>ORD0154</v>
      </c>
      <c r="B138" s="1">
        <f>IF(Raw_data!B155="",NA(),Raw_data!B155)</f>
        <v>45660</v>
      </c>
      <c r="C138" t="str">
        <f>IF(Raw_data!C155="",NA(),Raw_data!C155)</f>
        <v>Headphones</v>
      </c>
      <c r="D138" t="s">
        <v>22</v>
      </c>
      <c r="E138">
        <f>IF(Raw_data!E155="",NA(),Raw_data!E155)</f>
        <v>100</v>
      </c>
      <c r="F138">
        <f>IF(Raw_data!F155="",NA(),Raw_data!F155)</f>
        <v>2</v>
      </c>
      <c r="G138">
        <f>IF(Raw_data!G155="",NA(),Raw_data!G155)</f>
        <v>200</v>
      </c>
      <c r="H138" t="str">
        <f>IF(Raw_data!H155="",NA(),Raw_data!H155)</f>
        <v>John Doe</v>
      </c>
      <c r="I138" t="str">
        <f>IF(Raw_data!I155="",NA(),Raw_data!I155)</f>
        <v>Denver</v>
      </c>
      <c r="J138" t="str">
        <f>IF(Raw_data!J155="",NA(),Raw_data!J155)</f>
        <v>Debit Card</v>
      </c>
      <c r="K138" t="str">
        <f>IF(Raw_data!K155="",NA(),Raw_data!K155)</f>
        <v>Completed</v>
      </c>
      <c r="L138">
        <f t="shared" si="4"/>
        <v>1</v>
      </c>
      <c r="M138" t="str">
        <f t="shared" si="5"/>
        <v>03-01-25</v>
      </c>
      <c r="N138" t="str">
        <f>LEFT(Table2[[#This Row],[Date_text]],2)</f>
        <v>03</v>
      </c>
      <c r="O138" s="32" t="str">
        <f>MID(Table2[[#This Row],[Date_text]],4,2)</f>
        <v>01</v>
      </c>
      <c r="P138" t="str">
        <f>RIGHT(Table2[[#This Row],[Date_text]],2)</f>
        <v>25</v>
      </c>
    </row>
    <row r="139" spans="1:16" x14ac:dyDescent="0.25">
      <c r="A139" t="str">
        <f>IF(Raw_data!A157="",NA(),Raw_data!A157)</f>
        <v>ORD0156</v>
      </c>
      <c r="B139" s="1" t="str">
        <f>IF(Raw_data!B157="",NA(),Raw_data!B157)</f>
        <v>16-03-25</v>
      </c>
      <c r="C139" t="str">
        <f>IF(Raw_data!C157="",NA(),Raw_data!C157)</f>
        <v>Smartwatch</v>
      </c>
      <c r="D139" t="str">
        <f>IF(Raw_data!D157="",NA(),Raw_data!D157)</f>
        <v>Electronics</v>
      </c>
      <c r="E139">
        <f>IF(Raw_data!E157="",NA(),Raw_data!E157)</f>
        <v>150</v>
      </c>
      <c r="F139">
        <f>IF(Raw_data!F157="",NA(),Raw_data!F157)</f>
        <v>4</v>
      </c>
      <c r="G139">
        <f>IF(Raw_data!G157="",NA(),Raw_data!G157)</f>
        <v>600</v>
      </c>
      <c r="H139" t="str">
        <f>IF(Raw_data!H157="",NA(),Raw_data!H157)</f>
        <v>Olivia Wilson</v>
      </c>
      <c r="I139" t="str">
        <f>IF(Raw_data!I157="",NA(),Raw_data!I157)</f>
        <v>Miami</v>
      </c>
      <c r="J139" t="str">
        <f>IF(Raw_data!J157="",NA(),Raw_data!J157)</f>
        <v>PayPal</v>
      </c>
      <c r="K139" t="str">
        <f>IF(Raw_data!K157="",NA(),Raw_data!K157)</f>
        <v>Cancelled</v>
      </c>
      <c r="L139">
        <f t="shared" si="4"/>
        <v>1</v>
      </c>
      <c r="M139" t="str">
        <f t="shared" si="5"/>
        <v>16-03-25</v>
      </c>
      <c r="N139" t="str">
        <f>LEFT(Table2[[#This Row],[Date_text]],2)</f>
        <v>16</v>
      </c>
      <c r="O139" s="32" t="str">
        <f>MID(Table2[[#This Row],[Date_text]],4,2)</f>
        <v>03</v>
      </c>
      <c r="P139" t="str">
        <f>RIGHT(Table2[[#This Row],[Date_text]],2)</f>
        <v>25</v>
      </c>
    </row>
    <row r="140" spans="1:16" x14ac:dyDescent="0.25">
      <c r="A140" t="str">
        <f>IF(Raw_data!A158="",NA(),Raw_data!A158)</f>
        <v>ORD0157</v>
      </c>
      <c r="B140" s="1">
        <f>IF(Raw_data!B158="",NA(),Raw_data!B158)</f>
        <v>45871</v>
      </c>
      <c r="C140" t="str">
        <f>IF(Raw_data!C158="",NA(),Raw_data!C158)</f>
        <v>Smartphone</v>
      </c>
      <c r="D140" t="str">
        <f>IF(Raw_data!D158="",NA(),Raw_data!D158)</f>
        <v>Electronics</v>
      </c>
      <c r="E140">
        <v>150</v>
      </c>
      <c r="F140">
        <f>IF(Raw_data!F158="",NA(),Raw_data!F158)</f>
        <v>3</v>
      </c>
      <c r="G140">
        <f>IF(Raw_data!G158="",NA(),Raw_data!G158)</f>
        <v>1500</v>
      </c>
      <c r="H140" t="str">
        <f>IF(Raw_data!H158="",NA(),Raw_data!H158)</f>
        <v>Sophia Miller</v>
      </c>
      <c r="I140" t="str">
        <f>IF(Raw_data!I158="",NA(),Raw_data!I158)</f>
        <v>Denver</v>
      </c>
      <c r="J140" t="str">
        <f>IF(Raw_data!J158="",NA(),Raw_data!J158)</f>
        <v>Credit Card</v>
      </c>
      <c r="K140" t="str">
        <f>IF(Raw_data!K158="",NA(),Raw_data!K158)</f>
        <v>Pending</v>
      </c>
      <c r="L140">
        <f t="shared" si="4"/>
        <v>1</v>
      </c>
      <c r="M140" t="str">
        <f t="shared" si="5"/>
        <v>02-08-25</v>
      </c>
      <c r="N140" t="str">
        <f>LEFT(Table2[[#This Row],[Date_text]],2)</f>
        <v>02</v>
      </c>
      <c r="O140" s="32" t="str">
        <f>MID(Table2[[#This Row],[Date_text]],4,2)</f>
        <v>08</v>
      </c>
      <c r="P140" t="str">
        <f>RIGHT(Table2[[#This Row],[Date_text]],2)</f>
        <v>25</v>
      </c>
    </row>
    <row r="141" spans="1:16" x14ac:dyDescent="0.25">
      <c r="A141" t="str">
        <f>IF(Raw_data!A159="",NA(),Raw_data!A159)</f>
        <v>ORD0158</v>
      </c>
      <c r="B141" s="1" t="str">
        <f>IF(Raw_data!B159="",NA(),Raw_data!B159)</f>
        <v>24-02-25</v>
      </c>
      <c r="C141" t="str">
        <f>IF(Raw_data!C159="",NA(),Raw_data!C159)</f>
        <v>Laptop</v>
      </c>
      <c r="D141" t="str">
        <f>IF(Raw_data!D159="",NA(),Raw_data!D159)</f>
        <v>Electronics</v>
      </c>
      <c r="E141">
        <f>IF(Raw_data!E159="",NA(),Raw_data!E159)</f>
        <v>800</v>
      </c>
      <c r="F141">
        <f>IF(Raw_data!F159="",NA(),Raw_data!F159)</f>
        <v>3</v>
      </c>
      <c r="G141">
        <f>IF(Raw_data!G159="",NA(),Raw_data!G159)</f>
        <v>2400</v>
      </c>
      <c r="H141" t="str">
        <f>IF(Raw_data!H159="",NA(),Raw_data!H159)</f>
        <v>Chris White</v>
      </c>
      <c r="I141" t="str">
        <f>IF(Raw_data!I159="",NA(),Raw_data!I159)</f>
        <v>Miami</v>
      </c>
      <c r="J141" t="str">
        <f>IF(Raw_data!J159="",NA(),Raw_data!J159)</f>
        <v>Debit Card</v>
      </c>
      <c r="K141" t="str">
        <f>IF(Raw_data!K159="",NA(),Raw_data!K159)</f>
        <v>Pending</v>
      </c>
      <c r="L141">
        <f t="shared" si="4"/>
        <v>1</v>
      </c>
      <c r="M141" t="str">
        <f t="shared" si="5"/>
        <v>24-02-25</v>
      </c>
      <c r="N141" t="str">
        <f>LEFT(Table2[[#This Row],[Date_text]],2)</f>
        <v>24</v>
      </c>
      <c r="O141" s="32" t="str">
        <f>MID(Table2[[#This Row],[Date_text]],4,2)</f>
        <v>02</v>
      </c>
      <c r="P141" t="str">
        <f>RIGHT(Table2[[#This Row],[Date_text]],2)</f>
        <v>25</v>
      </c>
    </row>
    <row r="142" spans="1:16" x14ac:dyDescent="0.25">
      <c r="A142" t="str">
        <f>IF(Raw_data!A161="",NA(),Raw_data!A161)</f>
        <v>ORD0160</v>
      </c>
      <c r="B142" s="1">
        <f>IF(Raw_data!B161="",NA(),Raw_data!B161)</f>
        <v>45810</v>
      </c>
      <c r="C142" t="str">
        <f>IF(Raw_data!C161="",NA(),Raw_data!C161)</f>
        <v>Washing Machine</v>
      </c>
      <c r="D142" t="str">
        <f>IF(Raw_data!D161="",NA(),Raw_data!D161)</f>
        <v>Home Appliances</v>
      </c>
      <c r="E142">
        <f>IF(Raw_data!E161="",NA(),Raw_data!E161)</f>
        <v>600</v>
      </c>
      <c r="F142">
        <f>IF(Raw_data!F161="",NA(),Raw_data!F161)</f>
        <v>3</v>
      </c>
      <c r="G142">
        <f>IF(Raw_data!G161="",NA(),Raw_data!G161)</f>
        <v>1800</v>
      </c>
      <c r="H142" t="str">
        <f>IF(Raw_data!H161="",NA(),Raw_data!H161)</f>
        <v>Olivia Wilson</v>
      </c>
      <c r="I142" t="str">
        <f>IF(Raw_data!I161="",NA(),Raw_data!I161)</f>
        <v>Denver</v>
      </c>
      <c r="J142" t="str">
        <f>IF(Raw_data!J161="",NA(),Raw_data!J161)</f>
        <v>Gift Card</v>
      </c>
      <c r="K142" t="str">
        <f>IF(Raw_data!K161="",NA(),Raw_data!K161)</f>
        <v>Cancelled</v>
      </c>
      <c r="L142">
        <f t="shared" si="4"/>
        <v>1</v>
      </c>
      <c r="M142" t="str">
        <f t="shared" si="5"/>
        <v>02-06-25</v>
      </c>
      <c r="N142" t="str">
        <f>LEFT(Table2[[#This Row],[Date_text]],2)</f>
        <v>02</v>
      </c>
      <c r="O142" s="32" t="str">
        <f>MID(Table2[[#This Row],[Date_text]],4,2)</f>
        <v>06</v>
      </c>
      <c r="P142" t="str">
        <f>RIGHT(Table2[[#This Row],[Date_text]],2)</f>
        <v>25</v>
      </c>
    </row>
    <row r="143" spans="1:16" x14ac:dyDescent="0.25">
      <c r="A143" t="str">
        <f>IF(Raw_data!A162="",NA(),Raw_data!A162)</f>
        <v>ORD0161</v>
      </c>
      <c r="B143" s="1" t="str">
        <f>IF(Raw_data!B162="",NA(),Raw_data!B162)</f>
        <v>22-02-25</v>
      </c>
      <c r="C143" t="str">
        <f>IF(Raw_data!C162="",NA(),Raw_data!C162)</f>
        <v>Headphones</v>
      </c>
      <c r="D143" t="str">
        <f>IF(Raw_data!D162="",NA(),Raw_data!D162)</f>
        <v>Electronics</v>
      </c>
      <c r="E143">
        <f>IF(Raw_data!E162="",NA(),Raw_data!E162)</f>
        <v>100</v>
      </c>
      <c r="F143">
        <f>IF(Raw_data!F162="",NA(),Raw_data!F162)</f>
        <v>1</v>
      </c>
      <c r="G143">
        <f>IF(Raw_data!G162="",NA(),Raw_data!G162)</f>
        <v>100</v>
      </c>
      <c r="H143" t="str">
        <f>IF(Raw_data!H162="",NA(),Raw_data!H162)</f>
        <v>Emily Johnson</v>
      </c>
      <c r="I143" t="str">
        <f>IF(Raw_data!I162="",NA(),Raw_data!I162)</f>
        <v>Los Angeles</v>
      </c>
      <c r="J143" t="str">
        <f>IF(Raw_data!J162="",NA(),Raw_data!J162)</f>
        <v>Credit Card</v>
      </c>
      <c r="K143" t="str">
        <f>IF(Raw_data!K162="",NA(),Raw_data!K162)</f>
        <v>Completed</v>
      </c>
      <c r="L143">
        <f t="shared" si="4"/>
        <v>1</v>
      </c>
      <c r="M143" t="str">
        <f t="shared" si="5"/>
        <v>22-02-25</v>
      </c>
      <c r="N143" t="str">
        <f>LEFT(Table2[[#This Row],[Date_text]],2)</f>
        <v>22</v>
      </c>
      <c r="O143" s="32" t="str">
        <f>MID(Table2[[#This Row],[Date_text]],4,2)</f>
        <v>02</v>
      </c>
      <c r="P143" t="str">
        <f>RIGHT(Table2[[#This Row],[Date_text]],2)</f>
        <v>25</v>
      </c>
    </row>
    <row r="144" spans="1:16" x14ac:dyDescent="0.25">
      <c r="A144" t="str">
        <f>IF(Raw_data!A163="",NA(),Raw_data!A163)</f>
        <v>ORD0162</v>
      </c>
      <c r="B144" s="1">
        <f>IF(Raw_data!B163="",NA(),Raw_data!B163)</f>
        <v>45902</v>
      </c>
      <c r="C144" t="str">
        <f>IF(Raw_data!C163="",NA(),Raw_data!C163)</f>
        <v>Smartphone</v>
      </c>
      <c r="D144" t="str">
        <f>IF(Raw_data!D163="",NA(),Raw_data!D163)</f>
        <v>Electronics</v>
      </c>
      <c r="E144">
        <f>IF(Raw_data!E163="",NA(),Raw_data!E163)</f>
        <v>500</v>
      </c>
      <c r="F144">
        <f>IF(Raw_data!F163="",NA(),Raw_data!F163)</f>
        <v>2</v>
      </c>
      <c r="G144">
        <f>IF(Raw_data!G163="",NA(),Raw_data!G163)</f>
        <v>1000</v>
      </c>
      <c r="H144" t="str">
        <f>IF(Raw_data!H163="",NA(),Raw_data!H163)</f>
        <v>Olivia Wilson</v>
      </c>
      <c r="I144" t="str">
        <f>IF(Raw_data!I163="",NA(),Raw_data!I163)</f>
        <v>Chicago</v>
      </c>
      <c r="J144" t="str">
        <f>IF(Raw_data!J163="",NA(),Raw_data!J163)</f>
        <v>Credit Card</v>
      </c>
      <c r="K144" t="str">
        <f>IF(Raw_data!K163="",NA(),Raw_data!K163)</f>
        <v>Completed</v>
      </c>
      <c r="L144">
        <f t="shared" si="4"/>
        <v>1</v>
      </c>
      <c r="M144" t="str">
        <f t="shared" si="5"/>
        <v>02-09-25</v>
      </c>
      <c r="N144" t="str">
        <f>LEFT(Table2[[#This Row],[Date_text]],2)</f>
        <v>02</v>
      </c>
      <c r="O144" s="32" t="str">
        <f>MID(Table2[[#This Row],[Date_text]],4,2)</f>
        <v>09</v>
      </c>
      <c r="P144" t="str">
        <f>RIGHT(Table2[[#This Row],[Date_text]],2)</f>
        <v>25</v>
      </c>
    </row>
    <row r="145" spans="1:16" x14ac:dyDescent="0.25">
      <c r="A145" t="str">
        <f>IF(Raw_data!A164="",NA(),Raw_data!A164)</f>
        <v>ORD0163</v>
      </c>
      <c r="B145" s="1" t="str">
        <f>IF(Raw_data!B164="",NA(),Raw_data!B164)</f>
        <v>20-02-25</v>
      </c>
      <c r="C145" t="str">
        <f>IF(Raw_data!C164="",NA(),Raw_data!C164)</f>
        <v>Running Shoes</v>
      </c>
      <c r="D145" t="str">
        <f>IF(Raw_data!D164="",NA(),Raw_data!D164)</f>
        <v>Footwear</v>
      </c>
      <c r="E145">
        <f>IF(Raw_data!E164="",NA(),Raw_data!E164)</f>
        <v>60</v>
      </c>
      <c r="F145">
        <f>IF(Raw_data!F164="",NA(),Raw_data!F164)</f>
        <v>2</v>
      </c>
      <c r="G145">
        <f>IF(Raw_data!G164="",NA(),Raw_data!G164)</f>
        <v>120</v>
      </c>
      <c r="H145" t="str">
        <f>IF(Raw_data!H164="",NA(),Raw_data!H164)</f>
        <v>Chris White</v>
      </c>
      <c r="I145" t="str">
        <f>IF(Raw_data!I164="",NA(),Raw_data!I164)</f>
        <v>Houston</v>
      </c>
      <c r="J145" t="str">
        <f>IF(Raw_data!J164="",NA(),Raw_data!J164)</f>
        <v>PayPal</v>
      </c>
      <c r="K145" t="str">
        <f>IF(Raw_data!K164="",NA(),Raw_data!K164)</f>
        <v>Completed</v>
      </c>
      <c r="L145">
        <f t="shared" si="4"/>
        <v>1</v>
      </c>
      <c r="M145" t="str">
        <f t="shared" si="5"/>
        <v>20-02-25</v>
      </c>
      <c r="N145" t="str">
        <f>LEFT(Table2[[#This Row],[Date_text]],2)</f>
        <v>20</v>
      </c>
      <c r="O145" s="32" t="str">
        <f>MID(Table2[[#This Row],[Date_text]],4,2)</f>
        <v>02</v>
      </c>
      <c r="P145" t="str">
        <f>RIGHT(Table2[[#This Row],[Date_text]],2)</f>
        <v>25</v>
      </c>
    </row>
    <row r="146" spans="1:16" x14ac:dyDescent="0.25">
      <c r="A146" t="str">
        <f>IF(Raw_data!A165="",NA(),Raw_data!A165)</f>
        <v>ORD0164</v>
      </c>
      <c r="B146" s="1" t="str">
        <f>IF(Raw_data!B165="",NA(),Raw_data!B165)</f>
        <v>25-02-25</v>
      </c>
      <c r="C146" t="str">
        <f>IF(Raw_data!C165="",NA(),Raw_data!C165)</f>
        <v>Smartwatch</v>
      </c>
      <c r="D146" t="str">
        <f>IF(Raw_data!D165="",NA(),Raw_data!D165)</f>
        <v>Electronics</v>
      </c>
      <c r="E146">
        <f>IF(Raw_data!E165="",NA(),Raw_data!E165)</f>
        <v>150</v>
      </c>
      <c r="F146">
        <f>IF(Raw_data!F165="",NA(),Raw_data!F165)</f>
        <v>5</v>
      </c>
      <c r="G146">
        <f>IF(Raw_data!G165="",NA(),Raw_data!G165)</f>
        <v>750</v>
      </c>
      <c r="H146" t="str">
        <f>IF(Raw_data!H165="",NA(),Raw_data!H165)</f>
        <v>Michael Brown</v>
      </c>
      <c r="I146" t="str">
        <f>IF(Raw_data!I165="",NA(),Raw_data!I165)</f>
        <v>Boston</v>
      </c>
      <c r="J146" t="str">
        <f>IF(Raw_data!J165="",NA(),Raw_data!J165)</f>
        <v>Debit Card</v>
      </c>
      <c r="K146" t="str">
        <f>IF(Raw_data!K165="",NA(),Raw_data!K165)</f>
        <v>Pending</v>
      </c>
      <c r="L146">
        <f t="shared" si="4"/>
        <v>1</v>
      </c>
      <c r="M146" t="str">
        <f t="shared" si="5"/>
        <v>25-02-25</v>
      </c>
      <c r="N146" t="str">
        <f>LEFT(Table2[[#This Row],[Date_text]],2)</f>
        <v>25</v>
      </c>
      <c r="O146" s="32" t="str">
        <f>MID(Table2[[#This Row],[Date_text]],4,2)</f>
        <v>02</v>
      </c>
      <c r="P146" t="str">
        <f>RIGHT(Table2[[#This Row],[Date_text]],2)</f>
        <v>25</v>
      </c>
    </row>
    <row r="147" spans="1:16" x14ac:dyDescent="0.25">
      <c r="A147" t="str">
        <f>IF(Raw_data!A166="",NA(),Raw_data!A166)</f>
        <v>ORD0165</v>
      </c>
      <c r="B147" s="1" t="str">
        <f>IF(Raw_data!B166="",NA(),Raw_data!B166)</f>
        <v>14-03-25</v>
      </c>
      <c r="C147" t="str">
        <f>IF(Raw_data!C166="",NA(),Raw_data!C166)</f>
        <v>Book</v>
      </c>
      <c r="D147" t="str">
        <f>IF(Raw_data!D166="",NA(),Raw_data!D166)</f>
        <v>Books</v>
      </c>
      <c r="E147">
        <f>IF(Raw_data!E166="",NA(),Raw_data!E166)</f>
        <v>15</v>
      </c>
      <c r="F147">
        <f>IF(Raw_data!F166="",NA(),Raw_data!F166)</f>
        <v>1</v>
      </c>
      <c r="G147">
        <f>IF(Raw_data!G166="",NA(),Raw_data!G166)</f>
        <v>15</v>
      </c>
      <c r="H147" t="str">
        <f>IF(Raw_data!H166="",NA(),Raw_data!H166)</f>
        <v>David Lee</v>
      </c>
      <c r="I147" t="str">
        <f>IF(Raw_data!I166="",NA(),Raw_data!I166)</f>
        <v>New York</v>
      </c>
      <c r="J147" t="str">
        <f>IF(Raw_data!J166="",NA(),Raw_data!J166)</f>
        <v>Amazon Pay</v>
      </c>
      <c r="K147" t="str">
        <f>IF(Raw_data!K166="",NA(),Raw_data!K166)</f>
        <v>Pending</v>
      </c>
      <c r="L147">
        <f t="shared" si="4"/>
        <v>1</v>
      </c>
      <c r="M147" t="str">
        <f t="shared" si="5"/>
        <v>14-03-25</v>
      </c>
      <c r="N147" t="str">
        <f>LEFT(Table2[[#This Row],[Date_text]],2)</f>
        <v>14</v>
      </c>
      <c r="O147" s="32" t="str">
        <f>MID(Table2[[#This Row],[Date_text]],4,2)</f>
        <v>03</v>
      </c>
      <c r="P147" t="str">
        <f>RIGHT(Table2[[#This Row],[Date_text]],2)</f>
        <v>25</v>
      </c>
    </row>
    <row r="148" spans="1:16" x14ac:dyDescent="0.25">
      <c r="A148" t="str">
        <f>IF(Raw_data!A167="",NA(),Raw_data!A167)</f>
        <v>ORD0166</v>
      </c>
      <c r="B148" s="1" t="str">
        <f>IF(Raw_data!B167="",NA(),Raw_data!B167)</f>
        <v>30-03-25</v>
      </c>
      <c r="C148" t="str">
        <f>IF(Raw_data!C167="",NA(),Raw_data!C167)</f>
        <v>Washing Machine</v>
      </c>
      <c r="D148" t="str">
        <f>IF(Raw_data!D167="",NA(),Raw_data!D167)</f>
        <v>Home Appliances</v>
      </c>
      <c r="E148">
        <f>IF(Raw_data!E167="",NA(),Raw_data!E167)</f>
        <v>600</v>
      </c>
      <c r="F148">
        <v>3</v>
      </c>
      <c r="G148">
        <f>IF(Raw_data!G167="",NA(),Raw_data!G167)</f>
        <v>2400</v>
      </c>
      <c r="H148" t="str">
        <f>IF(Raw_data!H167="",NA(),Raw_data!H167)</f>
        <v>Chris White</v>
      </c>
      <c r="I148" t="str">
        <f>IF(Raw_data!I167="",NA(),Raw_data!I167)</f>
        <v>Houston</v>
      </c>
      <c r="J148" t="str">
        <f>IF(Raw_data!J167="",NA(),Raw_data!J167)</f>
        <v>Credit Card</v>
      </c>
      <c r="K148" t="str">
        <f>IF(Raw_data!K167="",NA(),Raw_data!K167)</f>
        <v>Pending</v>
      </c>
      <c r="L148">
        <f t="shared" si="4"/>
        <v>1</v>
      </c>
      <c r="M148" t="str">
        <f t="shared" si="5"/>
        <v>30-03-25</v>
      </c>
      <c r="N148" t="str">
        <f>LEFT(Table2[[#This Row],[Date_text]],2)</f>
        <v>30</v>
      </c>
      <c r="O148" s="32" t="str">
        <f>MID(Table2[[#This Row],[Date_text]],4,2)</f>
        <v>03</v>
      </c>
      <c r="P148" t="str">
        <f>RIGHT(Table2[[#This Row],[Date_text]],2)</f>
        <v>25</v>
      </c>
    </row>
    <row r="149" spans="1:16" x14ac:dyDescent="0.25">
      <c r="A149" t="str">
        <f>IF(Raw_data!A169="",NA(),Raw_data!A169)</f>
        <v>ORD0168</v>
      </c>
      <c r="B149" s="1" t="str">
        <f>IF(Raw_data!B169="",NA(),Raw_data!B169)</f>
        <v>24-03-25</v>
      </c>
      <c r="C149" t="str">
        <f>IF(Raw_data!C169="",NA(),Raw_data!C169)</f>
        <v>Laptop</v>
      </c>
      <c r="D149" t="str">
        <f>IF(Raw_data!D169="",NA(),Raw_data!D169)</f>
        <v>Electronics</v>
      </c>
      <c r="E149">
        <f>IF(Raw_data!E169="",NA(),Raw_data!E169)</f>
        <v>800</v>
      </c>
      <c r="F149">
        <f>IF(Raw_data!F169="",NA(),Raw_data!F169)</f>
        <v>5</v>
      </c>
      <c r="G149">
        <f>IF(Raw_data!G169="",NA(),Raw_data!G169)</f>
        <v>4000</v>
      </c>
      <c r="H149" t="str">
        <f>IF(Raw_data!H169="",NA(),Raw_data!H169)</f>
        <v>Michael Brown</v>
      </c>
      <c r="I149" t="str">
        <f>IF(Raw_data!I169="",NA(),Raw_data!I169)</f>
        <v>Miami</v>
      </c>
      <c r="J149" t="str">
        <f>IF(Raw_data!J169="",NA(),Raw_data!J169)</f>
        <v>Debit Card</v>
      </c>
      <c r="K149" t="str">
        <f>IF(Raw_data!K169="",NA(),Raw_data!K169)</f>
        <v>Pending</v>
      </c>
      <c r="L149">
        <f t="shared" si="4"/>
        <v>1</v>
      </c>
      <c r="M149" t="str">
        <f t="shared" si="5"/>
        <v>24-03-25</v>
      </c>
      <c r="N149" t="str">
        <f>LEFT(Table2[[#This Row],[Date_text]],2)</f>
        <v>24</v>
      </c>
      <c r="O149" s="32" t="str">
        <f>MID(Table2[[#This Row],[Date_text]],4,2)</f>
        <v>03</v>
      </c>
      <c r="P149" t="str">
        <f>RIGHT(Table2[[#This Row],[Date_text]],2)</f>
        <v>25</v>
      </c>
    </row>
    <row r="150" spans="1:16" x14ac:dyDescent="0.25">
      <c r="A150" t="str">
        <f>IF(Raw_data!A170="",NA(),Raw_data!A170)</f>
        <v>ORD0169</v>
      </c>
      <c r="B150" s="1">
        <f>IF(Raw_data!B170="",NA(),Raw_data!B170)</f>
        <v>45811</v>
      </c>
      <c r="C150" t="str">
        <f>IF(Raw_data!C170="",NA(),Raw_data!C170)</f>
        <v>Refrigerator</v>
      </c>
      <c r="D150" t="s">
        <v>22</v>
      </c>
      <c r="E150">
        <v>150</v>
      </c>
      <c r="F150">
        <f>IF(Raw_data!F170="",NA(),Raw_data!F170)</f>
        <v>2</v>
      </c>
      <c r="G150">
        <f>IF(Raw_data!G170="",NA(),Raw_data!G170)</f>
        <v>2400</v>
      </c>
      <c r="H150" t="str">
        <f>IF(Raw_data!H170="",NA(),Raw_data!H170)</f>
        <v>John Doe</v>
      </c>
      <c r="I150" t="str">
        <f>IF(Raw_data!I170="",NA(),Raw_data!I170)</f>
        <v>Denver</v>
      </c>
      <c r="J150" t="str">
        <f>IF(Raw_data!J170="",NA(),Raw_data!J170)</f>
        <v>PayPal</v>
      </c>
      <c r="K150" t="str">
        <f>IF(Raw_data!K170="",NA(),Raw_data!K170)</f>
        <v>Completed</v>
      </c>
      <c r="L150">
        <f t="shared" si="4"/>
        <v>1</v>
      </c>
      <c r="M150" t="str">
        <f t="shared" si="5"/>
        <v>03-06-25</v>
      </c>
      <c r="N150" t="str">
        <f>LEFT(Table2[[#This Row],[Date_text]],2)</f>
        <v>03</v>
      </c>
      <c r="O150" s="32" t="str">
        <f>MID(Table2[[#This Row],[Date_text]],4,2)</f>
        <v>06</v>
      </c>
      <c r="P150" t="str">
        <f>RIGHT(Table2[[#This Row],[Date_text]],2)</f>
        <v>25</v>
      </c>
    </row>
    <row r="151" spans="1:16" x14ac:dyDescent="0.25">
      <c r="A151" t="str">
        <f>IF(Raw_data!A171="",NA(),Raw_data!A171)</f>
        <v>ORD0170</v>
      </c>
      <c r="B151" s="1" t="str">
        <f>IF(Raw_data!B171="",NA(),Raw_data!B171)</f>
        <v>28-02-25</v>
      </c>
      <c r="C151" t="str">
        <f>IF(Raw_data!C171="",NA(),Raw_data!C171)</f>
        <v>Laptop</v>
      </c>
      <c r="D151" t="str">
        <f>IF(Raw_data!D171="",NA(),Raw_data!D171)</f>
        <v>Electronics</v>
      </c>
      <c r="E151">
        <f>IF(Raw_data!E171="",NA(),Raw_data!E171)</f>
        <v>800</v>
      </c>
      <c r="F151">
        <f>IF(Raw_data!F171="",NA(),Raw_data!F171)</f>
        <v>1</v>
      </c>
      <c r="G151">
        <f>IF(Raw_data!G171="",NA(),Raw_data!G171)</f>
        <v>800</v>
      </c>
      <c r="H151" t="str">
        <f>IF(Raw_data!H171="",NA(),Raw_data!H171)</f>
        <v>Emma Clark</v>
      </c>
      <c r="I151" t="str">
        <f>IF(Raw_data!I171="",NA(),Raw_data!I171)</f>
        <v>San Francisco</v>
      </c>
      <c r="J151" t="str">
        <f>IF(Raw_data!J171="",NA(),Raw_data!J171)</f>
        <v>Gift Card</v>
      </c>
      <c r="K151" t="str">
        <f>IF(Raw_data!K171="",NA(),Raw_data!K171)</f>
        <v>Pending</v>
      </c>
      <c r="L151">
        <f t="shared" si="4"/>
        <v>1</v>
      </c>
      <c r="M151" t="str">
        <f t="shared" si="5"/>
        <v>28-02-25</v>
      </c>
      <c r="N151" t="str">
        <f>LEFT(Table2[[#This Row],[Date_text]],2)</f>
        <v>28</v>
      </c>
      <c r="O151" s="32" t="str">
        <f>MID(Table2[[#This Row],[Date_text]],4,2)</f>
        <v>02</v>
      </c>
      <c r="P151" t="str">
        <f>RIGHT(Table2[[#This Row],[Date_text]],2)</f>
        <v>25</v>
      </c>
    </row>
    <row r="152" spans="1:16" x14ac:dyDescent="0.25">
      <c r="A152" t="str">
        <f>IF(Raw_data!A172="",NA(),Raw_data!A172)</f>
        <v>ORD0171</v>
      </c>
      <c r="B152" s="1" t="str">
        <f>IF(Raw_data!B172="",NA(),Raw_data!B172)</f>
        <v>28-02-25</v>
      </c>
      <c r="C152" t="str">
        <f>IF(Raw_data!C172="",NA(),Raw_data!C172)</f>
        <v>Smartwatch</v>
      </c>
      <c r="D152" t="str">
        <f>IF(Raw_data!D172="",NA(),Raw_data!D172)</f>
        <v>Electronics</v>
      </c>
      <c r="E152">
        <f>IF(Raw_data!E172="",NA(),Raw_data!E172)</f>
        <v>150</v>
      </c>
      <c r="F152">
        <f>IF(Raw_data!F172="",NA(),Raw_data!F172)</f>
        <v>2</v>
      </c>
      <c r="G152">
        <f>IF(Raw_data!G172="",NA(),Raw_data!G172)</f>
        <v>300</v>
      </c>
      <c r="H152" t="str">
        <f>IF(Raw_data!H172="",NA(),Raw_data!H172)</f>
        <v>Daniel Harris</v>
      </c>
      <c r="I152" t="str">
        <f>IF(Raw_data!I172="",NA(),Raw_data!I172)</f>
        <v>Houston</v>
      </c>
      <c r="J152" t="str">
        <f>IF(Raw_data!J172="",NA(),Raw_data!J172)</f>
        <v>PayPal</v>
      </c>
      <c r="K152" t="str">
        <f>IF(Raw_data!K172="",NA(),Raw_data!K172)</f>
        <v>Completed</v>
      </c>
      <c r="L152">
        <f t="shared" si="4"/>
        <v>1</v>
      </c>
      <c r="M152" t="str">
        <f t="shared" si="5"/>
        <v>28-02-25</v>
      </c>
      <c r="N152" t="str">
        <f>LEFT(Table2[[#This Row],[Date_text]],2)</f>
        <v>28</v>
      </c>
      <c r="O152" s="32" t="str">
        <f>MID(Table2[[#This Row],[Date_text]],4,2)</f>
        <v>02</v>
      </c>
      <c r="P152" t="str">
        <f>RIGHT(Table2[[#This Row],[Date_text]],2)</f>
        <v>25</v>
      </c>
    </row>
    <row r="153" spans="1:16" x14ac:dyDescent="0.25">
      <c r="A153" t="str">
        <f>IF(Raw_data!A173="",NA(),Raw_data!A173)</f>
        <v>ORD0172</v>
      </c>
      <c r="B153" s="1">
        <f>IF(Raw_data!B173="",NA(),Raw_data!B173)</f>
        <v>45994</v>
      </c>
      <c r="C153" t="str">
        <f>IF(Raw_data!C173="",NA(),Raw_data!C173)</f>
        <v>Book</v>
      </c>
      <c r="D153" t="str">
        <f>IF(Raw_data!D173="",NA(),Raw_data!D173)</f>
        <v>Books</v>
      </c>
      <c r="E153">
        <f>IF(Raw_data!E173="",NA(),Raw_data!E173)</f>
        <v>15</v>
      </c>
      <c r="F153">
        <f>IF(Raw_data!F173="",NA(),Raw_data!F173)</f>
        <v>1</v>
      </c>
      <c r="G153">
        <f>IF(Raw_data!G173="",NA(),Raw_data!G173)</f>
        <v>15</v>
      </c>
      <c r="H153" t="str">
        <f>IF(Raw_data!H173="",NA(),Raw_data!H173)</f>
        <v>David Lee</v>
      </c>
      <c r="I153" t="str">
        <f>IF(Raw_data!I173="",NA(),Raw_data!I173)</f>
        <v>Miami</v>
      </c>
      <c r="J153" t="str">
        <f>IF(Raw_data!J173="",NA(),Raw_data!J173)</f>
        <v>Debit Card</v>
      </c>
      <c r="K153" t="str">
        <f>IF(Raw_data!K173="",NA(),Raw_data!K173)</f>
        <v>Cancelled</v>
      </c>
      <c r="L153">
        <f t="shared" si="4"/>
        <v>1</v>
      </c>
      <c r="M153" t="str">
        <f t="shared" si="5"/>
        <v>03-12-25</v>
      </c>
      <c r="N153" t="str">
        <f>LEFT(Table2[[#This Row],[Date_text]],2)</f>
        <v>03</v>
      </c>
      <c r="O153" s="32" t="str">
        <f>MID(Table2[[#This Row],[Date_text]],4,2)</f>
        <v>12</v>
      </c>
      <c r="P153" t="str">
        <f>RIGHT(Table2[[#This Row],[Date_text]],2)</f>
        <v>25</v>
      </c>
    </row>
    <row r="154" spans="1:16" x14ac:dyDescent="0.25">
      <c r="A154" t="str">
        <f>IF(Raw_data!A174="",NA(),Raw_data!A174)</f>
        <v>ORD0173</v>
      </c>
      <c r="B154" s="1" t="str">
        <f>IF(Raw_data!B174="",NA(),Raw_data!B174)</f>
        <v>28-02-25</v>
      </c>
      <c r="C154" t="str">
        <f>IF(Raw_data!C174="",NA(),Raw_data!C174)</f>
        <v>Refrigerator</v>
      </c>
      <c r="D154" t="str">
        <f>IF(Raw_data!D174="",NA(),Raw_data!D174)</f>
        <v>Home Appliances</v>
      </c>
      <c r="E154">
        <f>IF(Raw_data!E174="",NA(),Raw_data!E174)</f>
        <v>1200</v>
      </c>
      <c r="F154">
        <f>IF(Raw_data!F174="",NA(),Raw_data!F174)</f>
        <v>1</v>
      </c>
      <c r="G154">
        <f>IF(Raw_data!G174="",NA(),Raw_data!G174)</f>
        <v>1200</v>
      </c>
      <c r="H154" t="str">
        <f>IF(Raw_data!H174="",NA(),Raw_data!H174)</f>
        <v>Olivia Wilson</v>
      </c>
      <c r="I154" t="str">
        <f>IF(Raw_data!I174="",NA(),Raw_data!I174)</f>
        <v>Seattle</v>
      </c>
      <c r="J154" t="str">
        <f>IF(Raw_data!J174="",NA(),Raw_data!J174)</f>
        <v>PayPal</v>
      </c>
      <c r="K154" t="str">
        <f>IF(Raw_data!K174="",NA(),Raw_data!K174)</f>
        <v>Completed</v>
      </c>
      <c r="L154">
        <f t="shared" si="4"/>
        <v>1</v>
      </c>
      <c r="M154" t="str">
        <f t="shared" si="5"/>
        <v>28-02-25</v>
      </c>
      <c r="N154" t="str">
        <f>LEFT(Table2[[#This Row],[Date_text]],2)</f>
        <v>28</v>
      </c>
      <c r="O154" s="32" t="str">
        <f>MID(Table2[[#This Row],[Date_text]],4,2)</f>
        <v>02</v>
      </c>
      <c r="P154" t="str">
        <f>RIGHT(Table2[[#This Row],[Date_text]],2)</f>
        <v>25</v>
      </c>
    </row>
    <row r="155" spans="1:16" x14ac:dyDescent="0.25">
      <c r="A155" t="str">
        <f>IF(Raw_data!A175="",NA(),Raw_data!A175)</f>
        <v>ORD0174</v>
      </c>
      <c r="B155" s="1" t="str">
        <f>IF(Raw_data!B175="",NA(),Raw_data!B175)</f>
        <v>13-03-25</v>
      </c>
      <c r="C155" t="str">
        <f>IF(Raw_data!C175="",NA(),Raw_data!C175)</f>
        <v>Smartwatch</v>
      </c>
      <c r="D155" t="str">
        <f>IF(Raw_data!D175="",NA(),Raw_data!D175)</f>
        <v>Electronics</v>
      </c>
      <c r="E155">
        <f>IF(Raw_data!E175="",NA(),Raw_data!E175)</f>
        <v>150</v>
      </c>
      <c r="F155">
        <f>IF(Raw_data!F175="",NA(),Raw_data!F175)</f>
        <v>2</v>
      </c>
      <c r="G155">
        <f>IF(Raw_data!G175="",NA(),Raw_data!G175)</f>
        <v>300</v>
      </c>
      <c r="H155" t="str">
        <f>IF(Raw_data!H175="",NA(),Raw_data!H175)</f>
        <v>David Lee</v>
      </c>
      <c r="I155" t="str">
        <f>IF(Raw_data!I175="",NA(),Raw_data!I175)</f>
        <v>Chicago</v>
      </c>
      <c r="J155" t="str">
        <f>IF(Raw_data!J175="",NA(),Raw_data!J175)</f>
        <v>Debit Card</v>
      </c>
      <c r="K155" t="str">
        <f>IF(Raw_data!K175="",NA(),Raw_data!K175)</f>
        <v>Pending</v>
      </c>
      <c r="L155">
        <f t="shared" si="4"/>
        <v>1</v>
      </c>
      <c r="M155" t="str">
        <f t="shared" si="5"/>
        <v>13-03-25</v>
      </c>
      <c r="N155" t="str">
        <f>LEFT(Table2[[#This Row],[Date_text]],2)</f>
        <v>13</v>
      </c>
      <c r="O155" s="32" t="str">
        <f>MID(Table2[[#This Row],[Date_text]],4,2)</f>
        <v>03</v>
      </c>
      <c r="P155" t="str">
        <f>RIGHT(Table2[[#This Row],[Date_text]],2)</f>
        <v>25</v>
      </c>
    </row>
    <row r="156" spans="1:16" x14ac:dyDescent="0.25">
      <c r="A156" t="str">
        <f>IF(Raw_data!A177="",NA(),Raw_data!A177)</f>
        <v>ORD0176</v>
      </c>
      <c r="B156" s="1" t="str">
        <f>IF(Raw_data!B177="",NA(),Raw_data!B177)</f>
        <v>27-03-25</v>
      </c>
      <c r="C156" t="str">
        <f>IF(Raw_data!C177="",NA(),Raw_data!C177)</f>
        <v>Book</v>
      </c>
      <c r="D156" t="str">
        <f>IF(Raw_data!D177="",NA(),Raw_data!D177)</f>
        <v>Books</v>
      </c>
      <c r="E156">
        <f>IF(Raw_data!E177="",NA(),Raw_data!E177)</f>
        <v>15</v>
      </c>
      <c r="F156">
        <f>IF(Raw_data!F177="",NA(),Raw_data!F177)</f>
        <v>1</v>
      </c>
      <c r="G156">
        <f>IF(Raw_data!G177="",NA(),Raw_data!G177)</f>
        <v>15</v>
      </c>
      <c r="H156" t="str">
        <f>IF(Raw_data!H177="",NA(),Raw_data!H177)</f>
        <v>Michael Brown</v>
      </c>
      <c r="I156" t="str">
        <f>IF(Raw_data!I177="",NA(),Raw_data!I177)</f>
        <v>Boston</v>
      </c>
      <c r="J156" t="str">
        <f>IF(Raw_data!J177="",NA(),Raw_data!J177)</f>
        <v>Amazon Pay</v>
      </c>
      <c r="K156" t="str">
        <f>IF(Raw_data!K177="",NA(),Raw_data!K177)</f>
        <v>Completed</v>
      </c>
      <c r="L156">
        <f t="shared" si="4"/>
        <v>1</v>
      </c>
      <c r="M156" t="str">
        <f t="shared" si="5"/>
        <v>27-03-25</v>
      </c>
      <c r="N156" t="str">
        <f>LEFT(Table2[[#This Row],[Date_text]],2)</f>
        <v>27</v>
      </c>
      <c r="O156" s="32" t="str">
        <f>MID(Table2[[#This Row],[Date_text]],4,2)</f>
        <v>03</v>
      </c>
      <c r="P156" t="str">
        <f>RIGHT(Table2[[#This Row],[Date_text]],2)</f>
        <v>25</v>
      </c>
    </row>
    <row r="157" spans="1:16" x14ac:dyDescent="0.25">
      <c r="A157" t="str">
        <f>IF(Raw_data!A178="",NA(),Raw_data!A178)</f>
        <v>ORD0177</v>
      </c>
      <c r="B157" s="1" t="str">
        <f>IF(Raw_data!B178="",NA(),Raw_data!B178)</f>
        <v>14-03-25</v>
      </c>
      <c r="C157" t="str">
        <f>IF(Raw_data!C178="",NA(),Raw_data!C178)</f>
        <v>Book</v>
      </c>
      <c r="D157" t="str">
        <f>IF(Raw_data!D178="",NA(),Raw_data!D178)</f>
        <v>Books</v>
      </c>
      <c r="E157">
        <f>IF(Raw_data!E178="",NA(),Raw_data!E178)</f>
        <v>15</v>
      </c>
      <c r="F157">
        <f>IF(Raw_data!F178="",NA(),Raw_data!F178)</f>
        <v>5</v>
      </c>
      <c r="G157">
        <f>IF(Raw_data!G178="",NA(),Raw_data!G178)</f>
        <v>75</v>
      </c>
      <c r="H157" t="str">
        <f>IF(Raw_data!H178="",NA(),Raw_data!H178)</f>
        <v>David Lee</v>
      </c>
      <c r="I157" t="str">
        <f>IF(Raw_data!I178="",NA(),Raw_data!I178)</f>
        <v>San Francisco</v>
      </c>
      <c r="J157" t="str">
        <f>IF(Raw_data!J178="",NA(),Raw_data!J178)</f>
        <v>Credit Card</v>
      </c>
      <c r="K157" t="str">
        <f>IF(Raw_data!K178="",NA(),Raw_data!K178)</f>
        <v>Pending</v>
      </c>
      <c r="L157">
        <f t="shared" si="4"/>
        <v>1</v>
      </c>
      <c r="M157" t="str">
        <f t="shared" si="5"/>
        <v>14-03-25</v>
      </c>
      <c r="N157" t="str">
        <f>LEFT(Table2[[#This Row],[Date_text]],2)</f>
        <v>14</v>
      </c>
      <c r="O157" s="32" t="str">
        <f>MID(Table2[[#This Row],[Date_text]],4,2)</f>
        <v>03</v>
      </c>
      <c r="P157" t="str">
        <f>RIGHT(Table2[[#This Row],[Date_text]],2)</f>
        <v>25</v>
      </c>
    </row>
    <row r="158" spans="1:16" x14ac:dyDescent="0.25">
      <c r="A158" t="str">
        <f>IF(Raw_data!A179="",NA(),Raw_data!A179)</f>
        <v>ORD0178</v>
      </c>
      <c r="B158" s="1">
        <f>IF(Raw_data!B179="",NA(),Raw_data!B179)</f>
        <v>45810</v>
      </c>
      <c r="C158" t="str">
        <f>IF(Raw_data!C179="",NA(),Raw_data!C179)</f>
        <v>Smartphone</v>
      </c>
      <c r="D158" t="str">
        <f>IF(Raw_data!D179="",NA(),Raw_data!D179)</f>
        <v>Electronics</v>
      </c>
      <c r="E158">
        <f>IF(Raw_data!E179="",NA(),Raw_data!E179)</f>
        <v>500</v>
      </c>
      <c r="F158">
        <v>3</v>
      </c>
      <c r="G158">
        <f>IF(Raw_data!G179="",NA(),Raw_data!G179)</f>
        <v>1500</v>
      </c>
      <c r="H158" t="str">
        <f>IF(Raw_data!H179="",NA(),Raw_data!H179)</f>
        <v>Emily Johnson</v>
      </c>
      <c r="I158" t="str">
        <f>IF(Raw_data!I179="",NA(),Raw_data!I179)</f>
        <v>Chicago</v>
      </c>
      <c r="J158" t="str">
        <f>IF(Raw_data!J179="",NA(),Raw_data!J179)</f>
        <v>PayPal</v>
      </c>
      <c r="K158" t="str">
        <f>IF(Raw_data!K179="",NA(),Raw_data!K179)</f>
        <v>Completed</v>
      </c>
      <c r="L158">
        <f t="shared" si="4"/>
        <v>1</v>
      </c>
      <c r="M158" t="str">
        <f t="shared" si="5"/>
        <v>02-06-25</v>
      </c>
      <c r="N158" t="str">
        <f>LEFT(Table2[[#This Row],[Date_text]],2)</f>
        <v>02</v>
      </c>
      <c r="O158" s="32" t="str">
        <f>MID(Table2[[#This Row],[Date_text]],4,2)</f>
        <v>06</v>
      </c>
      <c r="P158" t="str">
        <f>RIGHT(Table2[[#This Row],[Date_text]],2)</f>
        <v>25</v>
      </c>
    </row>
    <row r="159" spans="1:16" x14ac:dyDescent="0.25">
      <c r="A159" t="str">
        <f>IF(Raw_data!A181="",NA(),Raw_data!A181)</f>
        <v>ORD0180</v>
      </c>
      <c r="B159" s="1">
        <f>IF(Raw_data!B181="",NA(),Raw_data!B181)</f>
        <v>45750</v>
      </c>
      <c r="C159" t="str">
        <f>IF(Raw_data!C181="",NA(),Raw_data!C181)</f>
        <v>Refrigerator</v>
      </c>
      <c r="D159" t="str">
        <f>IF(Raw_data!D181="",NA(),Raw_data!D181)</f>
        <v>Home Appliances</v>
      </c>
      <c r="E159">
        <f>IF(Raw_data!E181="",NA(),Raw_data!E181)</f>
        <v>1200</v>
      </c>
      <c r="F159">
        <f>IF(Raw_data!F181="",NA(),Raw_data!F181)</f>
        <v>3</v>
      </c>
      <c r="G159">
        <f>IF(Raw_data!G181="",NA(),Raw_data!G181)</f>
        <v>3600</v>
      </c>
      <c r="H159" t="str">
        <f>IF(Raw_data!H181="",NA(),Raw_data!H181)</f>
        <v>David Lee</v>
      </c>
      <c r="I159" t="str">
        <f>IF(Raw_data!I181="",NA(),Raw_data!I181)</f>
        <v>Boston</v>
      </c>
      <c r="J159" t="str">
        <f>IF(Raw_data!J181="",NA(),Raw_data!J181)</f>
        <v>Gift Card</v>
      </c>
      <c r="K159" t="str">
        <f>IF(Raw_data!K181="",NA(),Raw_data!K181)</f>
        <v>Completed</v>
      </c>
      <c r="L159">
        <f t="shared" si="4"/>
        <v>1</v>
      </c>
      <c r="M159" t="str">
        <f t="shared" si="5"/>
        <v>03-04-25</v>
      </c>
      <c r="N159" t="str">
        <f>LEFT(Table2[[#This Row],[Date_text]],2)</f>
        <v>03</v>
      </c>
      <c r="O159" s="32" t="str">
        <f>MID(Table2[[#This Row],[Date_text]],4,2)</f>
        <v>04</v>
      </c>
      <c r="P159" t="str">
        <f>RIGHT(Table2[[#This Row],[Date_text]],2)</f>
        <v>25</v>
      </c>
    </row>
    <row r="160" spans="1:16" x14ac:dyDescent="0.25">
      <c r="A160" t="str">
        <f>IF(Raw_data!A182="",NA(),Raw_data!A182)</f>
        <v>ORD0181</v>
      </c>
      <c r="B160" s="1">
        <f>IF(Raw_data!B182="",NA(),Raw_data!B182)</f>
        <v>45719</v>
      </c>
      <c r="C160" t="str">
        <f>IF(Raw_data!C182="",NA(),Raw_data!C182)</f>
        <v>Running Shoes</v>
      </c>
      <c r="D160" t="s">
        <v>22</v>
      </c>
      <c r="E160">
        <f>IF(Raw_data!E182="",NA(),Raw_data!E182)</f>
        <v>60</v>
      </c>
      <c r="F160">
        <f>IF(Raw_data!F182="",NA(),Raw_data!F182)</f>
        <v>2</v>
      </c>
      <c r="G160">
        <f>IF(Raw_data!G182="",NA(),Raw_data!G182)</f>
        <v>120</v>
      </c>
      <c r="H160" t="str">
        <f>IF(Raw_data!H182="",NA(),Raw_data!H182)</f>
        <v>David Lee</v>
      </c>
      <c r="I160" t="str">
        <f>IF(Raw_data!I182="",NA(),Raw_data!I182)</f>
        <v>Los Angeles</v>
      </c>
      <c r="J160" t="str">
        <f>IF(Raw_data!J182="",NA(),Raw_data!J182)</f>
        <v>Debit Card</v>
      </c>
      <c r="K160" t="str">
        <f>IF(Raw_data!K182="",NA(),Raw_data!K182)</f>
        <v>Cancelled</v>
      </c>
      <c r="L160">
        <f t="shared" si="4"/>
        <v>1</v>
      </c>
      <c r="M160" t="str">
        <f t="shared" si="5"/>
        <v>03-03-25</v>
      </c>
      <c r="N160" t="str">
        <f>LEFT(Table2[[#This Row],[Date_text]],2)</f>
        <v>03</v>
      </c>
      <c r="O160" s="32" t="str">
        <f>MID(Table2[[#This Row],[Date_text]],4,2)</f>
        <v>03</v>
      </c>
      <c r="P160" t="str">
        <f>RIGHT(Table2[[#This Row],[Date_text]],2)</f>
        <v>25</v>
      </c>
    </row>
    <row r="161" spans="1:16" x14ac:dyDescent="0.25">
      <c r="A161" t="str">
        <f>IF(Raw_data!A183="",NA(),Raw_data!A183)</f>
        <v>ORD0182</v>
      </c>
      <c r="B161" s="1">
        <f>IF(Raw_data!B183="",NA(),Raw_data!B183)</f>
        <v>45692</v>
      </c>
      <c r="C161" t="str">
        <f>IF(Raw_data!C183="",NA(),Raw_data!C183)</f>
        <v>T-Shirt</v>
      </c>
      <c r="D161" t="str">
        <f>IF(Raw_data!D183="",NA(),Raw_data!D183)</f>
        <v>Clothing</v>
      </c>
      <c r="E161">
        <f>IF(Raw_data!E183="",NA(),Raw_data!E183)</f>
        <v>20</v>
      </c>
      <c r="F161">
        <f>IF(Raw_data!F183="",NA(),Raw_data!F183)</f>
        <v>5</v>
      </c>
      <c r="G161">
        <f>IF(Raw_data!G183="",NA(),Raw_data!G183)</f>
        <v>100</v>
      </c>
      <c r="H161" t="str">
        <f>IF(Raw_data!H183="",NA(),Raw_data!H183)</f>
        <v>Emma Clark</v>
      </c>
      <c r="I161" t="str">
        <f>IF(Raw_data!I183="",NA(),Raw_data!I183)</f>
        <v>Denver</v>
      </c>
      <c r="J161" t="str">
        <f>IF(Raw_data!J183="",NA(),Raw_data!J183)</f>
        <v>PayPal</v>
      </c>
      <c r="K161" t="str">
        <f>IF(Raw_data!K183="",NA(),Raw_data!K183)</f>
        <v>Completed</v>
      </c>
      <c r="L161">
        <f t="shared" si="4"/>
        <v>1</v>
      </c>
      <c r="M161" t="str">
        <f t="shared" si="5"/>
        <v>04-02-25</v>
      </c>
      <c r="N161" t="str">
        <f>LEFT(Table2[[#This Row],[Date_text]],2)</f>
        <v>04</v>
      </c>
      <c r="O161" s="32" t="str">
        <f>MID(Table2[[#This Row],[Date_text]],4,2)</f>
        <v>02</v>
      </c>
      <c r="P161" t="str">
        <f>RIGHT(Table2[[#This Row],[Date_text]],2)</f>
        <v>25</v>
      </c>
    </row>
    <row r="162" spans="1:16" x14ac:dyDescent="0.25">
      <c r="A162" t="str">
        <f>IF(Raw_data!A184="",NA(),Raw_data!A184)</f>
        <v>ORD0183</v>
      </c>
      <c r="B162" s="1" t="str">
        <f>IF(Raw_data!B184="",NA(),Raw_data!B184)</f>
        <v>25-03-25</v>
      </c>
      <c r="C162" t="str">
        <f>IF(Raw_data!C184="",NA(),Raw_data!C184)</f>
        <v>Washing Machine</v>
      </c>
      <c r="D162" t="str">
        <f>IF(Raw_data!D184="",NA(),Raw_data!D184)</f>
        <v>Home Appliances</v>
      </c>
      <c r="E162">
        <f>IF(Raw_data!E184="",NA(),Raw_data!E184)</f>
        <v>600</v>
      </c>
      <c r="F162">
        <f>IF(Raw_data!F184="",NA(),Raw_data!F184)</f>
        <v>1</v>
      </c>
      <c r="G162">
        <f>IF(Raw_data!G184="",NA(),Raw_data!G184)</f>
        <v>600</v>
      </c>
      <c r="H162" t="str">
        <f>IF(Raw_data!H184="",NA(),Raw_data!H184)</f>
        <v>Emma Clark</v>
      </c>
      <c r="I162" t="str">
        <f>IF(Raw_data!I184="",NA(),Raw_data!I184)</f>
        <v>Seattle</v>
      </c>
      <c r="J162" t="str">
        <f>IF(Raw_data!J184="",NA(),Raw_data!J184)</f>
        <v>Debit Card</v>
      </c>
      <c r="K162" t="str">
        <f>IF(Raw_data!K184="",NA(),Raw_data!K184)</f>
        <v>Pending</v>
      </c>
      <c r="L162">
        <f t="shared" si="4"/>
        <v>1</v>
      </c>
      <c r="M162" t="str">
        <f t="shared" si="5"/>
        <v>25-03-25</v>
      </c>
      <c r="N162" t="str">
        <f>LEFT(Table2[[#This Row],[Date_text]],2)</f>
        <v>25</v>
      </c>
      <c r="O162" s="32" t="str">
        <f>MID(Table2[[#This Row],[Date_text]],4,2)</f>
        <v>03</v>
      </c>
      <c r="P162" t="str">
        <f>RIGHT(Table2[[#This Row],[Date_text]],2)</f>
        <v>25</v>
      </c>
    </row>
    <row r="163" spans="1:16" x14ac:dyDescent="0.25">
      <c r="A163" t="str">
        <f>IF(Raw_data!A185="",NA(),Raw_data!A185)</f>
        <v>ORD0184</v>
      </c>
      <c r="B163" s="1" t="str">
        <f>IF(Raw_data!B185="",NA(),Raw_data!B185)</f>
        <v>17-02-25</v>
      </c>
      <c r="C163" t="str">
        <f>IF(Raw_data!C185="",NA(),Raw_data!C185)</f>
        <v>Book</v>
      </c>
      <c r="D163" t="str">
        <f>IF(Raw_data!D185="",NA(),Raw_data!D185)</f>
        <v>Books</v>
      </c>
      <c r="E163">
        <v>150</v>
      </c>
      <c r="F163">
        <f>IF(Raw_data!F185="",NA(),Raw_data!F185)</f>
        <v>5</v>
      </c>
      <c r="G163">
        <f>IF(Raw_data!G185="",NA(),Raw_data!G185)</f>
        <v>75</v>
      </c>
      <c r="H163" t="str">
        <f>IF(Raw_data!H185="",NA(),Raw_data!H185)</f>
        <v>Daniel Harris</v>
      </c>
      <c r="I163" t="str">
        <f>IF(Raw_data!I185="",NA(),Raw_data!I185)</f>
        <v>Miami</v>
      </c>
      <c r="J163" t="str">
        <f>IF(Raw_data!J185="",NA(),Raw_data!J185)</f>
        <v>Debit Card</v>
      </c>
      <c r="K163" t="str">
        <f>IF(Raw_data!K185="",NA(),Raw_data!K185)</f>
        <v>Pending</v>
      </c>
      <c r="L163">
        <f t="shared" si="4"/>
        <v>1</v>
      </c>
      <c r="M163" t="str">
        <f t="shared" si="5"/>
        <v>17-02-25</v>
      </c>
      <c r="N163" t="str">
        <f>LEFT(Table2[[#This Row],[Date_text]],2)</f>
        <v>17</v>
      </c>
      <c r="O163" s="32" t="str">
        <f>MID(Table2[[#This Row],[Date_text]],4,2)</f>
        <v>02</v>
      </c>
      <c r="P163" t="str">
        <f>RIGHT(Table2[[#This Row],[Date_text]],2)</f>
        <v>25</v>
      </c>
    </row>
    <row r="164" spans="1:16" x14ac:dyDescent="0.25">
      <c r="A164" t="str">
        <f>IF(Raw_data!A186="",NA(),Raw_data!A186)</f>
        <v>ORD0185</v>
      </c>
      <c r="B164" s="1" t="str">
        <f>IF(Raw_data!B186="",NA(),Raw_data!B186)</f>
        <v>22-03-25</v>
      </c>
      <c r="C164" t="str">
        <f>IF(Raw_data!C186="",NA(),Raw_data!C186)</f>
        <v>T-Shirt</v>
      </c>
      <c r="D164" t="str">
        <f>IF(Raw_data!D186="",NA(),Raw_data!D186)</f>
        <v>Clothing</v>
      </c>
      <c r="E164">
        <f>IF(Raw_data!E186="",NA(),Raw_data!E186)</f>
        <v>20</v>
      </c>
      <c r="F164">
        <f>IF(Raw_data!F186="",NA(),Raw_data!F186)</f>
        <v>1</v>
      </c>
      <c r="G164">
        <f>IF(Raw_data!G186="",NA(),Raw_data!G186)</f>
        <v>20</v>
      </c>
      <c r="H164" t="str">
        <f>IF(Raw_data!H186="",NA(),Raw_data!H186)</f>
        <v>Chris White</v>
      </c>
      <c r="I164" t="str">
        <f>IF(Raw_data!I186="",NA(),Raw_data!I186)</f>
        <v>Dallas</v>
      </c>
      <c r="J164" t="str">
        <f>IF(Raw_data!J186="",NA(),Raw_data!J186)</f>
        <v>Debit Card</v>
      </c>
      <c r="K164" t="str">
        <f>IF(Raw_data!K186="",NA(),Raw_data!K186)</f>
        <v>Completed</v>
      </c>
      <c r="L164">
        <f t="shared" si="4"/>
        <v>1</v>
      </c>
      <c r="M164" t="str">
        <f t="shared" si="5"/>
        <v>22-03-25</v>
      </c>
      <c r="N164" t="str">
        <f>LEFT(Table2[[#This Row],[Date_text]],2)</f>
        <v>22</v>
      </c>
      <c r="O164" s="32" t="str">
        <f>MID(Table2[[#This Row],[Date_text]],4,2)</f>
        <v>03</v>
      </c>
      <c r="P164" t="str">
        <f>RIGHT(Table2[[#This Row],[Date_text]],2)</f>
        <v>25</v>
      </c>
    </row>
    <row r="165" spans="1:16" x14ac:dyDescent="0.25">
      <c r="A165" t="str">
        <f>IF(Raw_data!A187="",NA(),Raw_data!A187)</f>
        <v>ORD0186</v>
      </c>
      <c r="B165" s="1">
        <f>IF(Raw_data!B187="",NA(),Raw_data!B187)</f>
        <v>45691</v>
      </c>
      <c r="C165" t="str">
        <f>IF(Raw_data!C187="",NA(),Raw_data!C187)</f>
        <v>Washing Machine</v>
      </c>
      <c r="D165" t="str">
        <f>IF(Raw_data!D187="",NA(),Raw_data!D187)</f>
        <v>Home Appliances</v>
      </c>
      <c r="E165">
        <f>IF(Raw_data!E187="",NA(),Raw_data!E187)</f>
        <v>600</v>
      </c>
      <c r="F165">
        <f>IF(Raw_data!F187="",NA(),Raw_data!F187)</f>
        <v>4</v>
      </c>
      <c r="G165">
        <f>IF(Raw_data!G187="",NA(),Raw_data!G187)</f>
        <v>2400</v>
      </c>
      <c r="H165" t="str">
        <f>IF(Raw_data!H187="",NA(),Raw_data!H187)</f>
        <v>Michael Brown</v>
      </c>
      <c r="I165" t="str">
        <f>IF(Raw_data!I187="",NA(),Raw_data!I187)</f>
        <v>New York</v>
      </c>
      <c r="J165" t="str">
        <f>IF(Raw_data!J187="",NA(),Raw_data!J187)</f>
        <v>PayPal</v>
      </c>
      <c r="K165" t="str">
        <f>IF(Raw_data!K187="",NA(),Raw_data!K187)</f>
        <v>Completed</v>
      </c>
      <c r="L165">
        <f t="shared" si="4"/>
        <v>1</v>
      </c>
      <c r="M165" t="str">
        <f t="shared" si="5"/>
        <v>03-02-25</v>
      </c>
      <c r="N165" t="str">
        <f>LEFT(Table2[[#This Row],[Date_text]],2)</f>
        <v>03</v>
      </c>
      <c r="O165" s="32" t="str">
        <f>MID(Table2[[#This Row],[Date_text]],4,2)</f>
        <v>02</v>
      </c>
      <c r="P165" t="str">
        <f>RIGHT(Table2[[#This Row],[Date_text]],2)</f>
        <v>25</v>
      </c>
    </row>
    <row r="166" spans="1:16" x14ac:dyDescent="0.25">
      <c r="A166" t="str">
        <f>IF(Raw_data!A188="",NA(),Raw_data!A188)</f>
        <v>ORD0187</v>
      </c>
      <c r="B166" s="1" t="str">
        <f>IF(Raw_data!B188="",NA(),Raw_data!B188)</f>
        <v>13-03-25</v>
      </c>
      <c r="C166" t="str">
        <f>IF(Raw_data!C188="",NA(),Raw_data!C188)</f>
        <v>Laptop</v>
      </c>
      <c r="D166" t="str">
        <f>IF(Raw_data!D188="",NA(),Raw_data!D188)</f>
        <v>Electronics</v>
      </c>
      <c r="E166">
        <f>IF(Raw_data!E188="",NA(),Raw_data!E188)</f>
        <v>800</v>
      </c>
      <c r="F166">
        <v>3</v>
      </c>
      <c r="G166">
        <f>IF(Raw_data!G188="",NA(),Raw_data!G188)</f>
        <v>2400</v>
      </c>
      <c r="H166" t="str">
        <f>IF(Raw_data!H188="",NA(),Raw_data!H188)</f>
        <v>John Doe</v>
      </c>
      <c r="I166" t="str">
        <f>IF(Raw_data!I188="",NA(),Raw_data!I188)</f>
        <v>New York</v>
      </c>
      <c r="J166" t="str">
        <f>IF(Raw_data!J188="",NA(),Raw_data!J188)</f>
        <v>PayPal</v>
      </c>
      <c r="K166" t="str">
        <f>IF(Raw_data!K188="",NA(),Raw_data!K188)</f>
        <v>Pending</v>
      </c>
      <c r="L166">
        <f t="shared" si="4"/>
        <v>1</v>
      </c>
      <c r="M166" t="str">
        <f t="shared" si="5"/>
        <v>13-03-25</v>
      </c>
      <c r="N166" t="str">
        <f>LEFT(Table2[[#This Row],[Date_text]],2)</f>
        <v>13</v>
      </c>
      <c r="O166" s="32" t="str">
        <f>MID(Table2[[#This Row],[Date_text]],4,2)</f>
        <v>03</v>
      </c>
      <c r="P166" t="str">
        <f>RIGHT(Table2[[#This Row],[Date_text]],2)</f>
        <v>25</v>
      </c>
    </row>
    <row r="167" spans="1:16" x14ac:dyDescent="0.25">
      <c r="A167" t="str">
        <f>IF(Raw_data!A189="",NA(),Raw_data!A189)</f>
        <v>ORD0188</v>
      </c>
      <c r="B167" s="1" t="str">
        <f>IF(Raw_data!B189="",NA(),Raw_data!B189)</f>
        <v>14-02-25</v>
      </c>
      <c r="C167" t="str">
        <f>IF(Raw_data!C189="",NA(),Raw_data!C189)</f>
        <v>Book</v>
      </c>
      <c r="D167" t="str">
        <f>IF(Raw_data!D189="",NA(),Raw_data!D189)</f>
        <v>Books</v>
      </c>
      <c r="E167">
        <f>IF(Raw_data!E189="",NA(),Raw_data!E189)</f>
        <v>15</v>
      </c>
      <c r="F167">
        <f>IF(Raw_data!F189="",NA(),Raw_data!F189)</f>
        <v>1</v>
      </c>
      <c r="G167">
        <f>IF(Raw_data!G189="",NA(),Raw_data!G189)</f>
        <v>15</v>
      </c>
      <c r="H167" t="str">
        <f>IF(Raw_data!H189="",NA(),Raw_data!H189)</f>
        <v>John Doe</v>
      </c>
      <c r="I167" t="str">
        <f>IF(Raw_data!I189="",NA(),Raw_data!I189)</f>
        <v>Boston</v>
      </c>
      <c r="J167" t="str">
        <f>IF(Raw_data!J189="",NA(),Raw_data!J189)</f>
        <v>Amazon Pay</v>
      </c>
      <c r="K167" t="str">
        <f>IF(Raw_data!K189="",NA(),Raw_data!K189)</f>
        <v>Completed</v>
      </c>
      <c r="L167">
        <f t="shared" si="4"/>
        <v>1</v>
      </c>
      <c r="M167" t="str">
        <f t="shared" si="5"/>
        <v>14-02-25</v>
      </c>
      <c r="N167" t="str">
        <f>LEFT(Table2[[#This Row],[Date_text]],2)</f>
        <v>14</v>
      </c>
      <c r="O167" s="32" t="str">
        <f>MID(Table2[[#This Row],[Date_text]],4,2)</f>
        <v>02</v>
      </c>
      <c r="P167" t="str">
        <f>RIGHT(Table2[[#This Row],[Date_text]],2)</f>
        <v>25</v>
      </c>
    </row>
    <row r="168" spans="1:16" x14ac:dyDescent="0.25">
      <c r="A168" t="str">
        <f>IF(Raw_data!A190="",NA(),Raw_data!A190)</f>
        <v>ORD0189</v>
      </c>
      <c r="B168" s="1">
        <f>IF(Raw_data!B190="",NA(),Raw_data!B190)</f>
        <v>45932</v>
      </c>
      <c r="C168" t="str">
        <f>IF(Raw_data!C190="",NA(),Raw_data!C190)</f>
        <v>Laptop</v>
      </c>
      <c r="D168" t="str">
        <f>IF(Raw_data!D190="",NA(),Raw_data!D190)</f>
        <v>Electronics</v>
      </c>
      <c r="E168">
        <f>IF(Raw_data!E190="",NA(),Raw_data!E190)</f>
        <v>800</v>
      </c>
      <c r="F168">
        <f>IF(Raw_data!F190="",NA(),Raw_data!F190)</f>
        <v>3</v>
      </c>
      <c r="G168">
        <f>IF(Raw_data!G190="",NA(),Raw_data!G190)</f>
        <v>2400</v>
      </c>
      <c r="H168" t="str">
        <f>IF(Raw_data!H190="",NA(),Raw_data!H190)</f>
        <v>Jane Smith</v>
      </c>
      <c r="I168" t="str">
        <f>IF(Raw_data!I190="",NA(),Raw_data!I190)</f>
        <v>Houston</v>
      </c>
      <c r="J168" t="str">
        <f>IF(Raw_data!J190="",NA(),Raw_data!J190)</f>
        <v>Amazon Pay</v>
      </c>
      <c r="K168" t="str">
        <f>IF(Raw_data!K190="",NA(),Raw_data!K190)</f>
        <v>Completed</v>
      </c>
      <c r="L168">
        <f t="shared" si="4"/>
        <v>1</v>
      </c>
      <c r="M168" t="str">
        <f t="shared" si="5"/>
        <v>02-10-25</v>
      </c>
      <c r="N168" t="str">
        <f>LEFT(Table2[[#This Row],[Date_text]],2)</f>
        <v>02</v>
      </c>
      <c r="O168" s="32" t="str">
        <f>MID(Table2[[#This Row],[Date_text]],4,2)</f>
        <v>10</v>
      </c>
      <c r="P168" t="str">
        <f>RIGHT(Table2[[#This Row],[Date_text]],2)</f>
        <v>25</v>
      </c>
    </row>
    <row r="169" spans="1:16" x14ac:dyDescent="0.25">
      <c r="A169" t="str">
        <f>IF(Raw_data!A193="",NA(),Raw_data!A193)</f>
        <v>ORD0192</v>
      </c>
      <c r="B169" s="1" t="str">
        <f>IF(Raw_data!B193="",NA(),Raw_data!B193)</f>
        <v>31-03-25</v>
      </c>
      <c r="C169" t="str">
        <f>IF(Raw_data!C193="",NA(),Raw_data!C193)</f>
        <v>Headphones</v>
      </c>
      <c r="D169" t="str">
        <f>IF(Raw_data!D193="",NA(),Raw_data!D193)</f>
        <v>Electronics</v>
      </c>
      <c r="E169">
        <f>IF(Raw_data!E193="",NA(),Raw_data!E193)</f>
        <v>100</v>
      </c>
      <c r="F169">
        <f>IF(Raw_data!F193="",NA(),Raw_data!F193)</f>
        <v>3</v>
      </c>
      <c r="G169">
        <f>IF(Raw_data!G193="",NA(),Raw_data!G193)</f>
        <v>300</v>
      </c>
      <c r="H169" t="str">
        <f>IF(Raw_data!H193="",NA(),Raw_data!H193)</f>
        <v>Sophia Miller</v>
      </c>
      <c r="I169" t="str">
        <f>IF(Raw_data!I193="",NA(),Raw_data!I193)</f>
        <v>Dallas</v>
      </c>
      <c r="J169" t="str">
        <f>IF(Raw_data!J193="",NA(),Raw_data!J193)</f>
        <v>Gift Card</v>
      </c>
      <c r="K169" t="str">
        <f>IF(Raw_data!K193="",NA(),Raw_data!K193)</f>
        <v>Pending</v>
      </c>
      <c r="L169">
        <f t="shared" si="4"/>
        <v>1</v>
      </c>
      <c r="M169" t="str">
        <f t="shared" si="5"/>
        <v>31-03-25</v>
      </c>
      <c r="N169" t="str">
        <f>LEFT(Table2[[#This Row],[Date_text]],2)</f>
        <v>31</v>
      </c>
      <c r="O169" s="32" t="str">
        <f>MID(Table2[[#This Row],[Date_text]],4,2)</f>
        <v>03</v>
      </c>
      <c r="P169" t="str">
        <f>RIGHT(Table2[[#This Row],[Date_text]],2)</f>
        <v>25</v>
      </c>
    </row>
    <row r="170" spans="1:16" x14ac:dyDescent="0.25">
      <c r="A170" t="str">
        <f>IF(Raw_data!A194="",NA(),Raw_data!A194)</f>
        <v>ORD0193</v>
      </c>
      <c r="B170" s="1" t="str">
        <f>IF(Raw_data!B194="",NA(),Raw_data!B194)</f>
        <v>30-03-25</v>
      </c>
      <c r="C170" t="str">
        <f>IF(Raw_data!C194="",NA(),Raw_data!C194)</f>
        <v>Book</v>
      </c>
      <c r="D170" t="str">
        <f>IF(Raw_data!D194="",NA(),Raw_data!D194)</f>
        <v>Books</v>
      </c>
      <c r="E170">
        <f>IF(Raw_data!E194="",NA(),Raw_data!E194)</f>
        <v>15</v>
      </c>
      <c r="F170">
        <f>IF(Raw_data!F194="",NA(),Raw_data!F194)</f>
        <v>5</v>
      </c>
      <c r="G170">
        <f>IF(Raw_data!G194="",NA(),Raw_data!G194)</f>
        <v>75</v>
      </c>
      <c r="H170" t="str">
        <f>IF(Raw_data!H194="",NA(),Raw_data!H194)</f>
        <v>David Lee</v>
      </c>
      <c r="I170" t="str">
        <f>IF(Raw_data!I194="",NA(),Raw_data!I194)</f>
        <v>Chicago</v>
      </c>
      <c r="J170" t="str">
        <f>IF(Raw_data!J194="",NA(),Raw_data!J194)</f>
        <v>Amazon Pay</v>
      </c>
      <c r="K170" t="str">
        <f>IF(Raw_data!K194="",NA(),Raw_data!K194)</f>
        <v>Pending</v>
      </c>
      <c r="L170">
        <f t="shared" si="4"/>
        <v>1</v>
      </c>
      <c r="M170" t="str">
        <f t="shared" si="5"/>
        <v>30-03-25</v>
      </c>
      <c r="N170" t="str">
        <f>LEFT(Table2[[#This Row],[Date_text]],2)</f>
        <v>30</v>
      </c>
      <c r="O170" s="32" t="str">
        <f>MID(Table2[[#This Row],[Date_text]],4,2)</f>
        <v>03</v>
      </c>
      <c r="P170" t="str">
        <f>RIGHT(Table2[[#This Row],[Date_text]],2)</f>
        <v>25</v>
      </c>
    </row>
    <row r="171" spans="1:16" x14ac:dyDescent="0.25">
      <c r="A171" t="str">
        <f>IF(Raw_data!A195="",NA(),Raw_data!A195)</f>
        <v>ORD0194</v>
      </c>
      <c r="B171" s="1" t="str">
        <f>IF(Raw_data!B195="",NA(),Raw_data!B195)</f>
        <v>20-02-25</v>
      </c>
      <c r="C171" t="str">
        <f>IF(Raw_data!C195="",NA(),Raw_data!C195)</f>
        <v>Jeans</v>
      </c>
      <c r="D171" t="str">
        <f>IF(Raw_data!D195="",NA(),Raw_data!D195)</f>
        <v>Clothing</v>
      </c>
      <c r="E171">
        <f>IF(Raw_data!E195="",NA(),Raw_data!E195)</f>
        <v>40</v>
      </c>
      <c r="F171">
        <f>IF(Raw_data!F195="",NA(),Raw_data!F195)</f>
        <v>4</v>
      </c>
      <c r="G171">
        <f>IF(Raw_data!G195="",NA(),Raw_data!G195)</f>
        <v>160</v>
      </c>
      <c r="H171" t="str">
        <f>IF(Raw_data!H195="",NA(),Raw_data!H195)</f>
        <v>John Doe</v>
      </c>
      <c r="I171" t="str">
        <f>IF(Raw_data!I195="",NA(),Raw_data!I195)</f>
        <v>San Francisco</v>
      </c>
      <c r="J171" t="str">
        <f>IF(Raw_data!J195="",NA(),Raw_data!J195)</f>
        <v>Debit Card</v>
      </c>
      <c r="K171" t="str">
        <f>IF(Raw_data!K195="",NA(),Raw_data!K195)</f>
        <v>Cancelled</v>
      </c>
      <c r="L171">
        <f t="shared" si="4"/>
        <v>1</v>
      </c>
      <c r="M171" t="str">
        <f t="shared" si="5"/>
        <v>20-02-25</v>
      </c>
      <c r="N171" t="str">
        <f>LEFT(Table2[[#This Row],[Date_text]],2)</f>
        <v>20</v>
      </c>
      <c r="O171" s="32" t="str">
        <f>MID(Table2[[#This Row],[Date_text]],4,2)</f>
        <v>02</v>
      </c>
      <c r="P171" t="str">
        <f>RIGHT(Table2[[#This Row],[Date_text]],2)</f>
        <v>25</v>
      </c>
    </row>
    <row r="172" spans="1:16" x14ac:dyDescent="0.25">
      <c r="A172" t="str">
        <f>IF(Raw_data!A196="",NA(),Raw_data!A196)</f>
        <v>ORD0195</v>
      </c>
      <c r="B172" s="1">
        <f>IF(Raw_data!B196="",NA(),Raw_data!B196)</f>
        <v>45933</v>
      </c>
      <c r="C172" t="str">
        <f>IF(Raw_data!C196="",NA(),Raw_data!C196)</f>
        <v>Smartphone</v>
      </c>
      <c r="D172" t="str">
        <f>IF(Raw_data!D196="",NA(),Raw_data!D196)</f>
        <v>Electronics</v>
      </c>
      <c r="E172">
        <f>IF(Raw_data!E196="",NA(),Raw_data!E196)</f>
        <v>500</v>
      </c>
      <c r="F172">
        <f>IF(Raw_data!F196="",NA(),Raw_data!F196)</f>
        <v>3</v>
      </c>
      <c r="G172">
        <f>IF(Raw_data!G196="",NA(),Raw_data!G196)</f>
        <v>1500</v>
      </c>
      <c r="H172" t="str">
        <f>IF(Raw_data!H196="",NA(),Raw_data!H196)</f>
        <v>Olivia Wilson</v>
      </c>
      <c r="I172" t="str">
        <f>IF(Raw_data!I196="",NA(),Raw_data!I196)</f>
        <v>Denver</v>
      </c>
      <c r="J172" t="str">
        <f>IF(Raw_data!J196="",NA(),Raw_data!J196)</f>
        <v>Gift Card</v>
      </c>
      <c r="K172" t="str">
        <f>IF(Raw_data!K196="",NA(),Raw_data!K196)</f>
        <v>Cancelled</v>
      </c>
      <c r="L172">
        <f t="shared" si="4"/>
        <v>1</v>
      </c>
      <c r="M172" t="str">
        <f t="shared" si="5"/>
        <v>03-10-25</v>
      </c>
      <c r="N172" t="str">
        <f>LEFT(Table2[[#This Row],[Date_text]],2)</f>
        <v>03</v>
      </c>
      <c r="O172" s="32" t="str">
        <f>MID(Table2[[#This Row],[Date_text]],4,2)</f>
        <v>10</v>
      </c>
      <c r="P172" t="str">
        <f>RIGHT(Table2[[#This Row],[Date_text]],2)</f>
        <v>25</v>
      </c>
    </row>
    <row r="173" spans="1:16" x14ac:dyDescent="0.25">
      <c r="A173" t="str">
        <f>IF(Raw_data!A197="",NA(),Raw_data!A197)</f>
        <v>ORD0196</v>
      </c>
      <c r="B173" s="1">
        <f>IF(Raw_data!B197="",NA(),Raw_data!B197)</f>
        <v>45750</v>
      </c>
      <c r="C173" t="str">
        <f>IF(Raw_data!C197="",NA(),Raw_data!C197)</f>
        <v>Headphones</v>
      </c>
      <c r="D173" t="str">
        <f>IF(Raw_data!D197="",NA(),Raw_data!D197)</f>
        <v>Electronics</v>
      </c>
      <c r="E173">
        <f>IF(Raw_data!E197="",NA(),Raw_data!E197)</f>
        <v>100</v>
      </c>
      <c r="F173">
        <f>IF(Raw_data!F197="",NA(),Raw_data!F197)</f>
        <v>5</v>
      </c>
      <c r="G173">
        <f>IF(Raw_data!G197="",NA(),Raw_data!G197)</f>
        <v>500</v>
      </c>
      <c r="H173" t="str">
        <f>IF(Raw_data!H197="",NA(),Raw_data!H197)</f>
        <v>Daniel Harris</v>
      </c>
      <c r="I173" t="str">
        <f>IF(Raw_data!I197="",NA(),Raw_data!I197)</f>
        <v>Seattle</v>
      </c>
      <c r="J173" t="str">
        <f>IF(Raw_data!J197="",NA(),Raw_data!J197)</f>
        <v>Debit Card</v>
      </c>
      <c r="K173" t="str">
        <f>IF(Raw_data!K197="",NA(),Raw_data!K197)</f>
        <v>Pending</v>
      </c>
      <c r="L173">
        <f t="shared" si="4"/>
        <v>1</v>
      </c>
      <c r="M173" t="str">
        <f t="shared" si="5"/>
        <v>03-04-25</v>
      </c>
      <c r="N173" t="str">
        <f>LEFT(Table2[[#This Row],[Date_text]],2)</f>
        <v>03</v>
      </c>
      <c r="O173" s="32" t="str">
        <f>MID(Table2[[#This Row],[Date_text]],4,2)</f>
        <v>04</v>
      </c>
      <c r="P173" t="str">
        <f>RIGHT(Table2[[#This Row],[Date_text]],2)</f>
        <v>25</v>
      </c>
    </row>
    <row r="174" spans="1:16" x14ac:dyDescent="0.25">
      <c r="A174" t="str">
        <f>IF(Raw_data!A198="",NA(),Raw_data!A198)</f>
        <v>ORD0197</v>
      </c>
      <c r="B174" s="1">
        <f>IF(Raw_data!B198="",NA(),Raw_data!B198)</f>
        <v>45994</v>
      </c>
      <c r="C174" t="str">
        <f>IF(Raw_data!C198="",NA(),Raw_data!C198)</f>
        <v>Running Shoes</v>
      </c>
      <c r="D174" t="str">
        <f>IF(Raw_data!D198="",NA(),Raw_data!D198)</f>
        <v>Footwear</v>
      </c>
      <c r="E174">
        <f>IF(Raw_data!E198="",NA(),Raw_data!E198)</f>
        <v>60</v>
      </c>
      <c r="F174">
        <f>IF(Raw_data!F198="",NA(),Raw_data!F198)</f>
        <v>2</v>
      </c>
      <c r="G174">
        <f>IF(Raw_data!G198="",NA(),Raw_data!G198)</f>
        <v>120</v>
      </c>
      <c r="H174" t="str">
        <f>IF(Raw_data!H198="",NA(),Raw_data!H198)</f>
        <v>Michael Brown</v>
      </c>
      <c r="I174" t="str">
        <f>IF(Raw_data!I198="",NA(),Raw_data!I198)</f>
        <v>Denver</v>
      </c>
      <c r="J174" t="str">
        <f>IF(Raw_data!J198="",NA(),Raw_data!J198)</f>
        <v>Gift Card</v>
      </c>
      <c r="K174" t="str">
        <f>IF(Raw_data!K198="",NA(),Raw_data!K198)</f>
        <v>Completed</v>
      </c>
      <c r="L174">
        <f t="shared" si="4"/>
        <v>1</v>
      </c>
      <c r="M174" t="str">
        <f t="shared" si="5"/>
        <v>03-12-25</v>
      </c>
      <c r="N174" t="str">
        <f>LEFT(Table2[[#This Row],[Date_text]],2)</f>
        <v>03</v>
      </c>
      <c r="O174" s="32" t="str">
        <f>MID(Table2[[#This Row],[Date_text]],4,2)</f>
        <v>12</v>
      </c>
      <c r="P174" t="str">
        <f>RIGHT(Table2[[#This Row],[Date_text]],2)</f>
        <v>25</v>
      </c>
    </row>
    <row r="175" spans="1:16" x14ac:dyDescent="0.25">
      <c r="A175" t="str">
        <f>IF(Raw_data!A199="",NA(),Raw_data!A199)</f>
        <v>ORD0198</v>
      </c>
      <c r="B175" s="1" t="str">
        <f>IF(Raw_data!B199="",NA(),Raw_data!B199)</f>
        <v>20-02-25</v>
      </c>
      <c r="C175" t="str">
        <f>IF(Raw_data!C199="",NA(),Raw_data!C199)</f>
        <v>Laptop</v>
      </c>
      <c r="D175" t="str">
        <f>IF(Raw_data!D199="",NA(),Raw_data!D199)</f>
        <v>Electronics</v>
      </c>
      <c r="E175">
        <f>IF(Raw_data!E199="",NA(),Raw_data!E199)</f>
        <v>800</v>
      </c>
      <c r="F175">
        <f>IF(Raw_data!F199="",NA(),Raw_data!F199)</f>
        <v>4</v>
      </c>
      <c r="G175">
        <f>IF(Raw_data!G199="",NA(),Raw_data!G199)</f>
        <v>3200</v>
      </c>
      <c r="H175" t="str">
        <f>IF(Raw_data!H199="",NA(),Raw_data!H199)</f>
        <v>Jane Smith</v>
      </c>
      <c r="I175" t="str">
        <f>IF(Raw_data!I199="",NA(),Raw_data!I199)</f>
        <v>Seattle</v>
      </c>
      <c r="J175" t="str">
        <f>IF(Raw_data!J199="",NA(),Raw_data!J199)</f>
        <v>Amazon Pay</v>
      </c>
      <c r="K175" t="str">
        <f>IF(Raw_data!K199="",NA(),Raw_data!K199)</f>
        <v>Pending</v>
      </c>
      <c r="L175">
        <f t="shared" si="4"/>
        <v>1</v>
      </c>
      <c r="M175" t="str">
        <f t="shared" si="5"/>
        <v>20-02-25</v>
      </c>
      <c r="N175" t="str">
        <f>LEFT(Table2[[#This Row],[Date_text]],2)</f>
        <v>20</v>
      </c>
      <c r="O175" s="32" t="str">
        <f>MID(Table2[[#This Row],[Date_text]],4,2)</f>
        <v>02</v>
      </c>
      <c r="P175" t="str">
        <f>RIGHT(Table2[[#This Row],[Date_text]],2)</f>
        <v>25</v>
      </c>
    </row>
    <row r="176" spans="1:16" x14ac:dyDescent="0.25">
      <c r="A176" t="str">
        <f>IF(Raw_data!A200="",NA(),Raw_data!A200)</f>
        <v>ORD0199</v>
      </c>
      <c r="B176" s="1" t="str">
        <f>IF(Raw_data!B200="",NA(),Raw_data!B200)</f>
        <v>22-02-25</v>
      </c>
      <c r="C176" t="str">
        <f>IF(Raw_data!C200="",NA(),Raw_data!C200)</f>
        <v>Smartphone</v>
      </c>
      <c r="D176" t="str">
        <f>IF(Raw_data!D200="",NA(),Raw_data!D200)</f>
        <v>Electronics</v>
      </c>
      <c r="E176">
        <v>150</v>
      </c>
      <c r="F176">
        <f>IF(Raw_data!F200="",NA(),Raw_data!F200)</f>
        <v>3</v>
      </c>
      <c r="G176">
        <f>IF(Raw_data!G200="",NA(),Raw_data!G200)</f>
        <v>1500</v>
      </c>
      <c r="H176" t="str">
        <f>IF(Raw_data!H200="",NA(),Raw_data!H200)</f>
        <v>Chris White</v>
      </c>
      <c r="I176" t="str">
        <f>IF(Raw_data!I200="",NA(),Raw_data!I200)</f>
        <v>Dallas</v>
      </c>
      <c r="J176" t="str">
        <f>IF(Raw_data!J200="",NA(),Raw_data!J200)</f>
        <v>Credit Card</v>
      </c>
      <c r="K176" t="str">
        <f>IF(Raw_data!K200="",NA(),Raw_data!K200)</f>
        <v>Completed</v>
      </c>
      <c r="L176">
        <f t="shared" si="4"/>
        <v>1</v>
      </c>
      <c r="M176" t="str">
        <f t="shared" si="5"/>
        <v>22-02-25</v>
      </c>
      <c r="N176" t="str">
        <f>LEFT(Table2[[#This Row],[Date_text]],2)</f>
        <v>22</v>
      </c>
      <c r="O176" s="32" t="str">
        <f>MID(Table2[[#This Row],[Date_text]],4,2)</f>
        <v>02</v>
      </c>
      <c r="P176" t="str">
        <f>RIGHT(Table2[[#This Row],[Date_text]],2)</f>
        <v>25</v>
      </c>
    </row>
    <row r="177" spans="1:16" x14ac:dyDescent="0.25">
      <c r="A177" t="str">
        <f>IF(Raw_data!A201="",NA(),Raw_data!A201)</f>
        <v>ORD0200</v>
      </c>
      <c r="B177" s="1">
        <f>IF(Raw_data!B201="",NA(),Raw_data!B201)</f>
        <v>45932</v>
      </c>
      <c r="C177" t="str">
        <f>IF(Raw_data!C201="",NA(),Raw_data!C201)</f>
        <v>Book</v>
      </c>
      <c r="D177" t="str">
        <f>IF(Raw_data!D201="",NA(),Raw_data!D201)</f>
        <v>Books</v>
      </c>
      <c r="E177">
        <f>IF(Raw_data!E201="",NA(),Raw_data!E201)</f>
        <v>15</v>
      </c>
      <c r="F177">
        <f>IF(Raw_data!F201="",NA(),Raw_data!F201)</f>
        <v>2</v>
      </c>
      <c r="G177">
        <f>IF(Raw_data!G201="",NA(),Raw_data!G201)</f>
        <v>30</v>
      </c>
      <c r="H177" t="str">
        <f>IF(Raw_data!H201="",NA(),Raw_data!H201)</f>
        <v>Chris White</v>
      </c>
      <c r="I177" t="str">
        <f>IF(Raw_data!I201="",NA(),Raw_data!I201)</f>
        <v>Los Angeles</v>
      </c>
      <c r="J177" t="str">
        <f>IF(Raw_data!J201="",NA(),Raw_data!J201)</f>
        <v>Debit Card</v>
      </c>
      <c r="K177" t="str">
        <f>IF(Raw_data!K201="",NA(),Raw_data!K201)</f>
        <v>Completed</v>
      </c>
      <c r="L177">
        <f t="shared" si="4"/>
        <v>1</v>
      </c>
      <c r="M177" t="str">
        <f t="shared" si="5"/>
        <v>02-10-25</v>
      </c>
      <c r="N177" t="str">
        <f>LEFT(Table2[[#This Row],[Date_text]],2)</f>
        <v>02</v>
      </c>
      <c r="O177" s="32" t="str">
        <f>MID(Table2[[#This Row],[Date_text]],4,2)</f>
        <v>10</v>
      </c>
      <c r="P177" t="str">
        <f>RIGHT(Table2[[#This Row],[Date_text]],2)</f>
        <v>25</v>
      </c>
    </row>
    <row r="178" spans="1:16" x14ac:dyDescent="0.25">
      <c r="A178" t="str">
        <f>IF(Raw_data!A202="",NA(),Raw_data!A202)</f>
        <v>ORD0201</v>
      </c>
      <c r="B178" s="1">
        <f>IF(Raw_data!B202="",NA(),Raw_data!B202)</f>
        <v>45718</v>
      </c>
      <c r="C178" t="str">
        <f>IF(Raw_data!C202="",NA(),Raw_data!C202)</f>
        <v>Book</v>
      </c>
      <c r="D178" t="str">
        <f>IF(Raw_data!D202="",NA(),Raw_data!D202)</f>
        <v>Books</v>
      </c>
      <c r="E178">
        <f>IF(Raw_data!E202="",NA(),Raw_data!E202)</f>
        <v>15</v>
      </c>
      <c r="F178">
        <f>IF(Raw_data!F202="",NA(),Raw_data!F202)</f>
        <v>4</v>
      </c>
      <c r="G178">
        <f>IF(Raw_data!G202="",NA(),Raw_data!G202)</f>
        <v>60</v>
      </c>
      <c r="H178" t="str">
        <f>IF(Raw_data!H202="",NA(),Raw_data!H202)</f>
        <v>Michael Brown</v>
      </c>
      <c r="I178" t="str">
        <f>IF(Raw_data!I202="",NA(),Raw_data!I202)</f>
        <v>San Francisco</v>
      </c>
      <c r="J178" t="str">
        <f>IF(Raw_data!J202="",NA(),Raw_data!J202)</f>
        <v>Credit Card</v>
      </c>
      <c r="K178" t="str">
        <f>IF(Raw_data!K202="",NA(),Raw_data!K202)</f>
        <v>Completed</v>
      </c>
      <c r="L178">
        <f t="shared" si="4"/>
        <v>1</v>
      </c>
      <c r="M178" t="str">
        <f t="shared" si="5"/>
        <v>02-03-25</v>
      </c>
      <c r="N178" t="str">
        <f>LEFT(Table2[[#This Row],[Date_text]],2)</f>
        <v>02</v>
      </c>
      <c r="O178" s="32" t="str">
        <f>MID(Table2[[#This Row],[Date_text]],4,2)</f>
        <v>03</v>
      </c>
      <c r="P178" t="str">
        <f>RIGHT(Table2[[#This Row],[Date_text]],2)</f>
        <v>25</v>
      </c>
    </row>
    <row r="179" spans="1:16" x14ac:dyDescent="0.25">
      <c r="A179" t="str">
        <f>IF(Raw_data!A203="",NA(),Raw_data!A203)</f>
        <v>ORD0202</v>
      </c>
      <c r="B179" s="1" t="str">
        <f>IF(Raw_data!B203="",NA(),Raw_data!B203)</f>
        <v>21-02-25</v>
      </c>
      <c r="C179" t="str">
        <f>IF(Raw_data!C203="",NA(),Raw_data!C203)</f>
        <v>Smartphone</v>
      </c>
      <c r="D179" t="str">
        <f>IF(Raw_data!D203="",NA(),Raw_data!D203)</f>
        <v>Electronics</v>
      </c>
      <c r="E179">
        <f>IF(Raw_data!E203="",NA(),Raw_data!E203)</f>
        <v>500</v>
      </c>
      <c r="F179">
        <f>IF(Raw_data!F203="",NA(),Raw_data!F203)</f>
        <v>2</v>
      </c>
      <c r="G179">
        <f>IF(Raw_data!G203="",NA(),Raw_data!G203)</f>
        <v>1000</v>
      </c>
      <c r="H179" t="str">
        <f>IF(Raw_data!H203="",NA(),Raw_data!H203)</f>
        <v>Daniel Harris</v>
      </c>
      <c r="I179" t="str">
        <f>IF(Raw_data!I203="",NA(),Raw_data!I203)</f>
        <v>Miami</v>
      </c>
      <c r="J179" t="str">
        <f>IF(Raw_data!J203="",NA(),Raw_data!J203)</f>
        <v>Credit Card</v>
      </c>
      <c r="K179" t="str">
        <f>IF(Raw_data!K203="",NA(),Raw_data!K203)</f>
        <v>Cancelled</v>
      </c>
      <c r="L179">
        <f t="shared" si="4"/>
        <v>1</v>
      </c>
      <c r="M179" t="str">
        <f t="shared" si="5"/>
        <v>21-02-25</v>
      </c>
      <c r="N179" t="str">
        <f>LEFT(Table2[[#This Row],[Date_text]],2)</f>
        <v>21</v>
      </c>
      <c r="O179" s="32" t="str">
        <f>MID(Table2[[#This Row],[Date_text]],4,2)</f>
        <v>02</v>
      </c>
      <c r="P179" t="str">
        <f>RIGHT(Table2[[#This Row],[Date_text]],2)</f>
        <v>25</v>
      </c>
    </row>
    <row r="180" spans="1:16" x14ac:dyDescent="0.25">
      <c r="A180" t="str">
        <f>IF(Raw_data!A205="",NA(),Raw_data!A205)</f>
        <v>ORD0204</v>
      </c>
      <c r="B180" s="1">
        <f>IF(Raw_data!B205="",NA(),Raw_data!B205)</f>
        <v>45872</v>
      </c>
      <c r="C180" t="str">
        <f>IF(Raw_data!C205="",NA(),Raw_data!C205)</f>
        <v>Running Shoes</v>
      </c>
      <c r="D180" t="str">
        <f>IF(Raw_data!D205="",NA(),Raw_data!D205)</f>
        <v>Footwear</v>
      </c>
      <c r="E180">
        <f>IF(Raw_data!E205="",NA(),Raw_data!E205)</f>
        <v>60</v>
      </c>
      <c r="F180">
        <f>IF(Raw_data!F205="",NA(),Raw_data!F205)</f>
        <v>5</v>
      </c>
      <c r="G180">
        <f>IF(Raw_data!G205="",NA(),Raw_data!G205)</f>
        <v>300</v>
      </c>
      <c r="H180" t="str">
        <f>IF(Raw_data!H205="",NA(),Raw_data!H205)</f>
        <v>Jane Smith</v>
      </c>
      <c r="I180" t="str">
        <f>IF(Raw_data!I205="",NA(),Raw_data!I205)</f>
        <v>Miami</v>
      </c>
      <c r="J180" t="str">
        <f>IF(Raw_data!J205="",NA(),Raw_data!J205)</f>
        <v>Gift Card</v>
      </c>
      <c r="K180" t="str">
        <f>IF(Raw_data!K205="",NA(),Raw_data!K205)</f>
        <v>Pending</v>
      </c>
      <c r="L180">
        <f t="shared" si="4"/>
        <v>1</v>
      </c>
      <c r="M180" t="str">
        <f t="shared" si="5"/>
        <v>03-08-25</v>
      </c>
      <c r="N180" t="str">
        <f>LEFT(Table2[[#This Row],[Date_text]],2)</f>
        <v>03</v>
      </c>
      <c r="O180" s="32" t="str">
        <f>MID(Table2[[#This Row],[Date_text]],4,2)</f>
        <v>08</v>
      </c>
      <c r="P180" t="str">
        <f>RIGHT(Table2[[#This Row],[Date_text]],2)</f>
        <v>25</v>
      </c>
    </row>
    <row r="181" spans="1:16" x14ac:dyDescent="0.25">
      <c r="A181" t="str">
        <f>IF(Raw_data!A207="",NA(),Raw_data!A207)</f>
        <v>ORD0206</v>
      </c>
      <c r="B181" s="1">
        <f>IF(Raw_data!B207="",NA(),Raw_data!B207)</f>
        <v>45993</v>
      </c>
      <c r="C181" t="str">
        <f>IF(Raw_data!C207="",NA(),Raw_data!C207)</f>
        <v>Washing Machine</v>
      </c>
      <c r="D181" t="str">
        <f>IF(Raw_data!D207="",NA(),Raw_data!D207)</f>
        <v>Home Appliances</v>
      </c>
      <c r="E181">
        <f>IF(Raw_data!E207="",NA(),Raw_data!E207)</f>
        <v>600</v>
      </c>
      <c r="F181">
        <f>IF(Raw_data!F207="",NA(),Raw_data!F207)</f>
        <v>5</v>
      </c>
      <c r="G181">
        <f>IF(Raw_data!G207="",NA(),Raw_data!G207)</f>
        <v>3000</v>
      </c>
      <c r="H181" t="str">
        <f>IF(Raw_data!H207="",NA(),Raw_data!H207)</f>
        <v>Emma Clark</v>
      </c>
      <c r="I181" t="str">
        <f>IF(Raw_data!I207="",NA(),Raw_data!I207)</f>
        <v>Miami</v>
      </c>
      <c r="J181" t="str">
        <f>IF(Raw_data!J207="",NA(),Raw_data!J207)</f>
        <v>Amazon Pay</v>
      </c>
      <c r="K181" t="str">
        <f>IF(Raw_data!K207="",NA(),Raw_data!K207)</f>
        <v>Pending</v>
      </c>
      <c r="L181">
        <f t="shared" si="4"/>
        <v>1</v>
      </c>
      <c r="M181" t="str">
        <f t="shared" si="5"/>
        <v>02-12-25</v>
      </c>
      <c r="N181" t="str">
        <f>LEFT(Table2[[#This Row],[Date_text]],2)</f>
        <v>02</v>
      </c>
      <c r="O181" s="32" t="str">
        <f>MID(Table2[[#This Row],[Date_text]],4,2)</f>
        <v>12</v>
      </c>
      <c r="P181" t="str">
        <f>RIGHT(Table2[[#This Row],[Date_text]],2)</f>
        <v>25</v>
      </c>
    </row>
    <row r="182" spans="1:16" x14ac:dyDescent="0.25">
      <c r="A182" t="str">
        <f>IF(Raw_data!A208="",NA(),Raw_data!A208)</f>
        <v>ORD0207</v>
      </c>
      <c r="B182" s="1" t="str">
        <f>IF(Raw_data!B208="",NA(),Raw_data!B208)</f>
        <v>21-03-25</v>
      </c>
      <c r="C182" t="str">
        <f>IF(Raw_data!C208="",NA(),Raw_data!C208)</f>
        <v>Washing Machine</v>
      </c>
      <c r="D182" t="str">
        <f>IF(Raw_data!D208="",NA(),Raw_data!D208)</f>
        <v>Home Appliances</v>
      </c>
      <c r="E182">
        <f>IF(Raw_data!E208="",NA(),Raw_data!E208)</f>
        <v>600</v>
      </c>
      <c r="F182">
        <f>IF(Raw_data!F208="",NA(),Raw_data!F208)</f>
        <v>1</v>
      </c>
      <c r="G182">
        <f>IF(Raw_data!G208="",NA(),Raw_data!G208)</f>
        <v>600</v>
      </c>
      <c r="H182" t="str">
        <f>IF(Raw_data!H208="",NA(),Raw_data!H208)</f>
        <v>John Doe</v>
      </c>
      <c r="I182" t="str">
        <f>IF(Raw_data!I208="",NA(),Raw_data!I208)</f>
        <v>Miami</v>
      </c>
      <c r="J182" t="str">
        <f>IF(Raw_data!J208="",NA(),Raw_data!J208)</f>
        <v>Credit Card</v>
      </c>
      <c r="K182" t="str">
        <f>IF(Raw_data!K208="",NA(),Raw_data!K208)</f>
        <v>Completed</v>
      </c>
      <c r="L182">
        <f t="shared" si="4"/>
        <v>1</v>
      </c>
      <c r="M182" t="str">
        <f t="shared" si="5"/>
        <v>21-03-25</v>
      </c>
      <c r="N182" t="str">
        <f>LEFT(Table2[[#This Row],[Date_text]],2)</f>
        <v>21</v>
      </c>
      <c r="O182" s="32" t="str">
        <f>MID(Table2[[#This Row],[Date_text]],4,2)</f>
        <v>03</v>
      </c>
      <c r="P182" t="str">
        <f>RIGHT(Table2[[#This Row],[Date_text]],2)</f>
        <v>25</v>
      </c>
    </row>
    <row r="183" spans="1:16" x14ac:dyDescent="0.25">
      <c r="A183" t="str">
        <f>IF(Raw_data!A209="",NA(),Raw_data!A209)</f>
        <v>ORD0208</v>
      </c>
      <c r="B183" s="1">
        <f>IF(Raw_data!B209="",NA(),Raw_data!B209)</f>
        <v>45690</v>
      </c>
      <c r="C183" t="str">
        <f>IF(Raw_data!C209="",NA(),Raw_data!C209)</f>
        <v>Refrigerator</v>
      </c>
      <c r="D183" t="str">
        <f>IF(Raw_data!D209="",NA(),Raw_data!D209)</f>
        <v>Home Appliances</v>
      </c>
      <c r="E183">
        <f>IF(Raw_data!E209="",NA(),Raw_data!E209)</f>
        <v>1200</v>
      </c>
      <c r="F183">
        <f>IF(Raw_data!F209="",NA(),Raw_data!F209)</f>
        <v>3</v>
      </c>
      <c r="G183">
        <f>IF(Raw_data!G209="",NA(),Raw_data!G209)</f>
        <v>3600</v>
      </c>
      <c r="H183" t="str">
        <f>IF(Raw_data!H209="",NA(),Raw_data!H209)</f>
        <v>John Doe</v>
      </c>
      <c r="I183" t="str">
        <f>IF(Raw_data!I209="",NA(),Raw_data!I209)</f>
        <v>Miami</v>
      </c>
      <c r="J183" t="str">
        <f>IF(Raw_data!J209="",NA(),Raw_data!J209)</f>
        <v>PayPal</v>
      </c>
      <c r="K183" t="str">
        <f>IF(Raw_data!K209="",NA(),Raw_data!K209)</f>
        <v>Completed</v>
      </c>
      <c r="L183">
        <f t="shared" si="4"/>
        <v>1</v>
      </c>
      <c r="M183" t="str">
        <f t="shared" si="5"/>
        <v>02-02-25</v>
      </c>
      <c r="N183" t="str">
        <f>LEFT(Table2[[#This Row],[Date_text]],2)</f>
        <v>02</v>
      </c>
      <c r="O183" s="32" t="str">
        <f>MID(Table2[[#This Row],[Date_text]],4,2)</f>
        <v>02</v>
      </c>
      <c r="P183" t="str">
        <f>RIGHT(Table2[[#This Row],[Date_text]],2)</f>
        <v>25</v>
      </c>
    </row>
    <row r="184" spans="1:16" x14ac:dyDescent="0.25">
      <c r="A184" t="str">
        <f>IF(Raw_data!A210="",NA(),Raw_data!A210)</f>
        <v>ORD0209</v>
      </c>
      <c r="B184" s="1" t="str">
        <f>IF(Raw_data!B210="",NA(),Raw_data!B210)</f>
        <v>29-03-25</v>
      </c>
      <c r="C184" t="str">
        <f>IF(Raw_data!C210="",NA(),Raw_data!C210)</f>
        <v>Jeans</v>
      </c>
      <c r="D184" t="str">
        <f>IF(Raw_data!D210="",NA(),Raw_data!D210)</f>
        <v>Clothing</v>
      </c>
      <c r="E184">
        <f>IF(Raw_data!E210="",NA(),Raw_data!E210)</f>
        <v>40</v>
      </c>
      <c r="F184">
        <f>IF(Raw_data!F210="",NA(),Raw_data!F210)</f>
        <v>5</v>
      </c>
      <c r="G184">
        <f>IF(Raw_data!G210="",NA(),Raw_data!G210)</f>
        <v>200</v>
      </c>
      <c r="H184" t="str">
        <f>IF(Raw_data!H210="",NA(),Raw_data!H210)</f>
        <v>Daniel Harris</v>
      </c>
      <c r="I184" t="str">
        <f>IF(Raw_data!I210="",NA(),Raw_data!I210)</f>
        <v>Dallas</v>
      </c>
      <c r="J184" t="str">
        <f>IF(Raw_data!J210="",NA(),Raw_data!J210)</f>
        <v>PayPal</v>
      </c>
      <c r="K184" t="str">
        <f>IF(Raw_data!K210="",NA(),Raw_data!K210)</f>
        <v>Completed</v>
      </c>
      <c r="L184">
        <f t="shared" si="4"/>
        <v>1</v>
      </c>
      <c r="M184" t="str">
        <f t="shared" si="5"/>
        <v>29-03-25</v>
      </c>
      <c r="N184" t="str">
        <f>LEFT(Table2[[#This Row],[Date_text]],2)</f>
        <v>29</v>
      </c>
      <c r="O184" s="32" t="str">
        <f>MID(Table2[[#This Row],[Date_text]],4,2)</f>
        <v>03</v>
      </c>
      <c r="P184" t="str">
        <f>RIGHT(Table2[[#This Row],[Date_text]],2)</f>
        <v>25</v>
      </c>
    </row>
    <row r="185" spans="1:16" x14ac:dyDescent="0.25">
      <c r="A185" t="str">
        <f>IF(Raw_data!A211="",NA(),Raw_data!A211)</f>
        <v>ORD0210</v>
      </c>
      <c r="B185" s="1" t="str">
        <f>IF(Raw_data!B211="",NA(),Raw_data!B211)</f>
        <v>23-03-25</v>
      </c>
      <c r="C185" t="str">
        <f>IF(Raw_data!C211="",NA(),Raw_data!C211)</f>
        <v>Laptop</v>
      </c>
      <c r="D185" t="str">
        <f>IF(Raw_data!D211="",NA(),Raw_data!D211)</f>
        <v>Electronics</v>
      </c>
      <c r="E185">
        <f>IF(Raw_data!E211="",NA(),Raw_data!E211)</f>
        <v>800</v>
      </c>
      <c r="F185">
        <f>IF(Raw_data!F211="",NA(),Raw_data!F211)</f>
        <v>3</v>
      </c>
      <c r="G185">
        <f>IF(Raw_data!G211="",NA(),Raw_data!G211)</f>
        <v>2400</v>
      </c>
      <c r="H185" t="str">
        <f>IF(Raw_data!H211="",NA(),Raw_data!H211)</f>
        <v>Jane Smith</v>
      </c>
      <c r="I185" t="str">
        <f>IF(Raw_data!I211="",NA(),Raw_data!I211)</f>
        <v>New York</v>
      </c>
      <c r="J185" t="str">
        <f>IF(Raw_data!J211="",NA(),Raw_data!J211)</f>
        <v>PayPal</v>
      </c>
      <c r="K185" t="str">
        <f>IF(Raw_data!K211="",NA(),Raw_data!K211)</f>
        <v>Completed</v>
      </c>
      <c r="L185">
        <f t="shared" si="4"/>
        <v>1</v>
      </c>
      <c r="M185" t="str">
        <f t="shared" si="5"/>
        <v>23-03-25</v>
      </c>
      <c r="N185" t="str">
        <f>LEFT(Table2[[#This Row],[Date_text]],2)</f>
        <v>23</v>
      </c>
      <c r="O185" s="32" t="str">
        <f>MID(Table2[[#This Row],[Date_text]],4,2)</f>
        <v>03</v>
      </c>
      <c r="P185" t="str">
        <f>RIGHT(Table2[[#This Row],[Date_text]],2)</f>
        <v>25</v>
      </c>
    </row>
    <row r="186" spans="1:16" x14ac:dyDescent="0.25">
      <c r="A186" t="str">
        <f>IF(Raw_data!A212="",NA(),Raw_data!A212)</f>
        <v>ORD0211</v>
      </c>
      <c r="B186" s="1" t="str">
        <f>IF(Raw_data!B212="",NA(),Raw_data!B212)</f>
        <v>13-03-25</v>
      </c>
      <c r="C186" t="str">
        <f>IF(Raw_data!C212="",NA(),Raw_data!C212)</f>
        <v>Smartphone</v>
      </c>
      <c r="D186" t="str">
        <f>IF(Raw_data!D212="",NA(),Raw_data!D212)</f>
        <v>Electronics</v>
      </c>
      <c r="E186">
        <f>IF(Raw_data!E212="",NA(),Raw_data!E212)</f>
        <v>500</v>
      </c>
      <c r="F186">
        <f>IF(Raw_data!F212="",NA(),Raw_data!F212)</f>
        <v>1</v>
      </c>
      <c r="G186">
        <f>IF(Raw_data!G212="",NA(),Raw_data!G212)</f>
        <v>500</v>
      </c>
      <c r="H186" t="str">
        <f>IF(Raw_data!H212="",NA(),Raw_data!H212)</f>
        <v>David Lee</v>
      </c>
      <c r="I186" t="str">
        <f>IF(Raw_data!I212="",NA(),Raw_data!I212)</f>
        <v>Miami</v>
      </c>
      <c r="J186" t="str">
        <f>IF(Raw_data!J212="",NA(),Raw_data!J212)</f>
        <v>Gift Card</v>
      </c>
      <c r="K186" t="str">
        <f>IF(Raw_data!K212="",NA(),Raw_data!K212)</f>
        <v>Pending</v>
      </c>
      <c r="L186">
        <f t="shared" si="4"/>
        <v>1</v>
      </c>
      <c r="M186" t="str">
        <f t="shared" si="5"/>
        <v>13-03-25</v>
      </c>
      <c r="N186" t="str">
        <f>LEFT(Table2[[#This Row],[Date_text]],2)</f>
        <v>13</v>
      </c>
      <c r="O186" s="32" t="str">
        <f>MID(Table2[[#This Row],[Date_text]],4,2)</f>
        <v>03</v>
      </c>
      <c r="P186" t="str">
        <f>RIGHT(Table2[[#This Row],[Date_text]],2)</f>
        <v>25</v>
      </c>
    </row>
    <row r="187" spans="1:16" x14ac:dyDescent="0.25">
      <c r="A187" t="str">
        <f>IF(Raw_data!A213="",NA(),Raw_data!A213)</f>
        <v>ORD0212</v>
      </c>
      <c r="B187" s="1">
        <f>IF(Raw_data!B213="",NA(),Raw_data!B213)</f>
        <v>45903</v>
      </c>
      <c r="C187" t="str">
        <f>IF(Raw_data!C213="",NA(),Raw_data!C213)</f>
        <v>T-Shirt</v>
      </c>
      <c r="D187" t="str">
        <f>IF(Raw_data!D213="",NA(),Raw_data!D213)</f>
        <v>Clothing</v>
      </c>
      <c r="E187">
        <f>IF(Raw_data!E213="",NA(),Raw_data!E213)</f>
        <v>20</v>
      </c>
      <c r="F187">
        <f>IF(Raw_data!F213="",NA(),Raw_data!F213)</f>
        <v>4</v>
      </c>
      <c r="G187">
        <f>IF(Raw_data!G213="",NA(),Raw_data!G213)</f>
        <v>80</v>
      </c>
      <c r="H187" t="str">
        <f>IF(Raw_data!H213="",NA(),Raw_data!H213)</f>
        <v>Emma Clark</v>
      </c>
      <c r="I187" t="str">
        <f>IF(Raw_data!I213="",NA(),Raw_data!I213)</f>
        <v>Houston</v>
      </c>
      <c r="J187" t="str">
        <f>IF(Raw_data!J213="",NA(),Raw_data!J213)</f>
        <v>Debit Card</v>
      </c>
      <c r="K187" t="str">
        <f>IF(Raw_data!K213="",NA(),Raw_data!K213)</f>
        <v>Completed</v>
      </c>
      <c r="L187">
        <f t="shared" si="4"/>
        <v>1</v>
      </c>
      <c r="M187" t="str">
        <f t="shared" si="5"/>
        <v>03-09-25</v>
      </c>
      <c r="N187" t="str">
        <f>LEFT(Table2[[#This Row],[Date_text]],2)</f>
        <v>03</v>
      </c>
      <c r="O187" s="32" t="str">
        <f>MID(Table2[[#This Row],[Date_text]],4,2)</f>
        <v>09</v>
      </c>
      <c r="P187" t="str">
        <f>RIGHT(Table2[[#This Row],[Date_text]],2)</f>
        <v>25</v>
      </c>
    </row>
    <row r="188" spans="1:16" x14ac:dyDescent="0.25">
      <c r="A188" t="str">
        <f>IF(Raw_data!A215="",NA(),Raw_data!A215)</f>
        <v>ORD0214</v>
      </c>
      <c r="B188" s="1" t="str">
        <f>IF(Raw_data!B215="",NA(),Raw_data!B215)</f>
        <v>18-02-25</v>
      </c>
      <c r="C188" t="str">
        <f>IF(Raw_data!C215="",NA(),Raw_data!C215)</f>
        <v>Smartwatch</v>
      </c>
      <c r="D188" t="str">
        <f>IF(Raw_data!D215="",NA(),Raw_data!D215)</f>
        <v>Electronics</v>
      </c>
      <c r="E188">
        <f>IF(Raw_data!E215="",NA(),Raw_data!E215)</f>
        <v>150</v>
      </c>
      <c r="F188">
        <f>IF(Raw_data!F215="",NA(),Raw_data!F215)</f>
        <v>5</v>
      </c>
      <c r="G188">
        <f>IF(Raw_data!G215="",NA(),Raw_data!G215)</f>
        <v>750</v>
      </c>
      <c r="H188" t="str">
        <f>IF(Raw_data!H215="",NA(),Raw_data!H215)</f>
        <v>Emily Johnson</v>
      </c>
      <c r="I188" t="str">
        <f>IF(Raw_data!I215="",NA(),Raw_data!I215)</f>
        <v>Houston</v>
      </c>
      <c r="J188" t="str">
        <f>IF(Raw_data!J215="",NA(),Raw_data!J215)</f>
        <v>Debit Card</v>
      </c>
      <c r="K188" t="str">
        <f>IF(Raw_data!K215="",NA(),Raw_data!K215)</f>
        <v>Completed</v>
      </c>
      <c r="L188">
        <f t="shared" si="4"/>
        <v>1</v>
      </c>
      <c r="M188" t="str">
        <f t="shared" si="5"/>
        <v>18-02-25</v>
      </c>
      <c r="N188" t="str">
        <f>LEFT(Table2[[#This Row],[Date_text]],2)</f>
        <v>18</v>
      </c>
      <c r="O188" s="32" t="str">
        <f>MID(Table2[[#This Row],[Date_text]],4,2)</f>
        <v>02</v>
      </c>
      <c r="P188" t="str">
        <f>RIGHT(Table2[[#This Row],[Date_text]],2)</f>
        <v>25</v>
      </c>
    </row>
    <row r="189" spans="1:16" x14ac:dyDescent="0.25">
      <c r="A189" t="str">
        <f>IF(Raw_data!A216="",NA(),Raw_data!A216)</f>
        <v>ORD0215</v>
      </c>
      <c r="B189" s="1">
        <f>IF(Raw_data!B216="",NA(),Raw_data!B216)</f>
        <v>45841</v>
      </c>
      <c r="C189" t="str">
        <f>IF(Raw_data!C216="",NA(),Raw_data!C216)</f>
        <v>Running Shoes</v>
      </c>
      <c r="D189" t="str">
        <f>IF(Raw_data!D216="",NA(),Raw_data!D216)</f>
        <v>Footwear</v>
      </c>
      <c r="E189">
        <f>IF(Raw_data!E216="",NA(),Raw_data!E216)</f>
        <v>60</v>
      </c>
      <c r="F189">
        <f>IF(Raw_data!F216="",NA(),Raw_data!F216)</f>
        <v>1</v>
      </c>
      <c r="G189">
        <f>IF(Raw_data!G216="",NA(),Raw_data!G216)</f>
        <v>60</v>
      </c>
      <c r="H189" t="str">
        <f>IF(Raw_data!H216="",NA(),Raw_data!H216)</f>
        <v>Emma Clark</v>
      </c>
      <c r="I189" t="str">
        <f>IF(Raw_data!I216="",NA(),Raw_data!I216)</f>
        <v>Houston</v>
      </c>
      <c r="J189" t="str">
        <f>IF(Raw_data!J216="",NA(),Raw_data!J216)</f>
        <v>PayPal</v>
      </c>
      <c r="K189" t="str">
        <f>IF(Raw_data!K216="",NA(),Raw_data!K216)</f>
        <v>Completed</v>
      </c>
      <c r="L189">
        <f t="shared" si="4"/>
        <v>1</v>
      </c>
      <c r="M189" t="str">
        <f t="shared" si="5"/>
        <v>03-07-25</v>
      </c>
      <c r="N189" t="str">
        <f>LEFT(Table2[[#This Row],[Date_text]],2)</f>
        <v>03</v>
      </c>
      <c r="O189" s="32" t="str">
        <f>MID(Table2[[#This Row],[Date_text]],4,2)</f>
        <v>07</v>
      </c>
      <c r="P189" t="str">
        <f>RIGHT(Table2[[#This Row],[Date_text]],2)</f>
        <v>25</v>
      </c>
    </row>
    <row r="190" spans="1:16" x14ac:dyDescent="0.25">
      <c r="A190" t="str">
        <f>IF(Raw_data!A217="",NA(),Raw_data!A217)</f>
        <v>ORD0216</v>
      </c>
      <c r="B190" s="1" t="str">
        <f>IF(Raw_data!B217="",NA(),Raw_data!B217)</f>
        <v>26-03-25</v>
      </c>
      <c r="C190" t="str">
        <f>IF(Raw_data!C217="",NA(),Raw_data!C217)</f>
        <v>Jeans</v>
      </c>
      <c r="D190" t="str">
        <f>IF(Raw_data!D217="",NA(),Raw_data!D217)</f>
        <v>Clothing</v>
      </c>
      <c r="E190">
        <f>IF(Raw_data!E217="",NA(),Raw_data!E217)</f>
        <v>40</v>
      </c>
      <c r="F190">
        <f>IF(Raw_data!F217="",NA(),Raw_data!F217)</f>
        <v>2</v>
      </c>
      <c r="G190">
        <f>IF(Raw_data!G217="",NA(),Raw_data!G217)</f>
        <v>80</v>
      </c>
      <c r="H190" t="str">
        <f>IF(Raw_data!H217="",NA(),Raw_data!H217)</f>
        <v>Chris White</v>
      </c>
      <c r="I190" t="str">
        <f>IF(Raw_data!I217="",NA(),Raw_data!I217)</f>
        <v>Chicago</v>
      </c>
      <c r="J190" t="str">
        <f>IF(Raw_data!J217="",NA(),Raw_data!J217)</f>
        <v>Credit Card</v>
      </c>
      <c r="K190" t="str">
        <f>IF(Raw_data!K217="",NA(),Raw_data!K217)</f>
        <v>Completed</v>
      </c>
      <c r="L190">
        <f t="shared" si="4"/>
        <v>1</v>
      </c>
      <c r="M190" t="str">
        <f t="shared" si="5"/>
        <v>26-03-25</v>
      </c>
      <c r="N190" t="str">
        <f>LEFT(Table2[[#This Row],[Date_text]],2)</f>
        <v>26</v>
      </c>
      <c r="O190" s="32" t="str">
        <f>MID(Table2[[#This Row],[Date_text]],4,2)</f>
        <v>03</v>
      </c>
      <c r="P190" t="str">
        <f>RIGHT(Table2[[#This Row],[Date_text]],2)</f>
        <v>25</v>
      </c>
    </row>
    <row r="191" spans="1:16" x14ac:dyDescent="0.25">
      <c r="A191" t="str">
        <f>IF(Raw_data!A218="",NA(),Raw_data!A218)</f>
        <v>ORD0217</v>
      </c>
      <c r="B191" s="1" t="str">
        <f>IF(Raw_data!B218="",NA(),Raw_data!B218)</f>
        <v>19-03-25</v>
      </c>
      <c r="C191" t="str">
        <f>IF(Raw_data!C218="",NA(),Raw_data!C218)</f>
        <v>Running Shoes</v>
      </c>
      <c r="D191" t="str">
        <f>IF(Raw_data!D218="",NA(),Raw_data!D218)</f>
        <v>Footwear</v>
      </c>
      <c r="E191">
        <f>IF(Raw_data!E218="",NA(),Raw_data!E218)</f>
        <v>60</v>
      </c>
      <c r="F191">
        <f>IF(Raw_data!F218="",NA(),Raw_data!F218)</f>
        <v>2</v>
      </c>
      <c r="G191">
        <f>IF(Raw_data!G218="",NA(),Raw_data!G218)</f>
        <v>120</v>
      </c>
      <c r="H191" t="str">
        <f>IF(Raw_data!H218="",NA(),Raw_data!H218)</f>
        <v>Emma Clark</v>
      </c>
      <c r="I191" t="str">
        <f>IF(Raw_data!I218="",NA(),Raw_data!I218)</f>
        <v>Boston</v>
      </c>
      <c r="J191" t="str">
        <f>IF(Raw_data!J218="",NA(),Raw_data!J218)</f>
        <v>Gift Card</v>
      </c>
      <c r="K191" t="str">
        <f>IF(Raw_data!K218="",NA(),Raw_data!K218)</f>
        <v>Pending</v>
      </c>
      <c r="L191">
        <f t="shared" si="4"/>
        <v>1</v>
      </c>
      <c r="M191" t="str">
        <f t="shared" si="5"/>
        <v>19-03-25</v>
      </c>
      <c r="N191" t="str">
        <f>LEFT(Table2[[#This Row],[Date_text]],2)</f>
        <v>19</v>
      </c>
      <c r="O191" s="32" t="str">
        <f>MID(Table2[[#This Row],[Date_text]],4,2)</f>
        <v>03</v>
      </c>
      <c r="P191" t="str">
        <f>RIGHT(Table2[[#This Row],[Date_text]],2)</f>
        <v>25</v>
      </c>
    </row>
    <row r="192" spans="1:16" x14ac:dyDescent="0.25">
      <c r="A192" t="str">
        <f>IF(Raw_data!A219="",NA(),Raw_data!A219)</f>
        <v>ORD0218</v>
      </c>
      <c r="B192" s="1" t="str">
        <f>IF(Raw_data!B219="",NA(),Raw_data!B219)</f>
        <v>15-02-25</v>
      </c>
      <c r="C192" t="str">
        <f>IF(Raw_data!C219="",NA(),Raw_data!C219)</f>
        <v>Headphones</v>
      </c>
      <c r="D192" t="str">
        <f>IF(Raw_data!D219="",NA(),Raw_data!D219)</f>
        <v>Electronics</v>
      </c>
      <c r="E192">
        <f>IF(Raw_data!E219="",NA(),Raw_data!E219)</f>
        <v>100</v>
      </c>
      <c r="F192">
        <f>IF(Raw_data!F219="",NA(),Raw_data!F219)</f>
        <v>4</v>
      </c>
      <c r="G192">
        <f>IF(Raw_data!G219="",NA(),Raw_data!G219)</f>
        <v>400</v>
      </c>
      <c r="H192" t="str">
        <f>IF(Raw_data!H219="",NA(),Raw_data!H219)</f>
        <v>Daniel Harris</v>
      </c>
      <c r="I192" t="str">
        <f>IF(Raw_data!I219="",NA(),Raw_data!I219)</f>
        <v>New York</v>
      </c>
      <c r="J192" t="str">
        <f>IF(Raw_data!J219="",NA(),Raw_data!J219)</f>
        <v>Gift Card</v>
      </c>
      <c r="K192" t="str">
        <f>IF(Raw_data!K219="",NA(),Raw_data!K219)</f>
        <v>Cancelled</v>
      </c>
      <c r="L192">
        <f t="shared" si="4"/>
        <v>1</v>
      </c>
      <c r="M192" t="str">
        <f t="shared" si="5"/>
        <v>15-02-25</v>
      </c>
      <c r="N192" t="str">
        <f>LEFT(Table2[[#This Row],[Date_text]],2)</f>
        <v>15</v>
      </c>
      <c r="O192" s="32" t="str">
        <f>MID(Table2[[#This Row],[Date_text]],4,2)</f>
        <v>02</v>
      </c>
      <c r="P192" t="str">
        <f>RIGHT(Table2[[#This Row],[Date_text]],2)</f>
        <v>25</v>
      </c>
    </row>
    <row r="193" spans="1:16" x14ac:dyDescent="0.25">
      <c r="A193" t="str">
        <f>IF(Raw_data!A220="",NA(),Raw_data!A220)</f>
        <v>ORD0219</v>
      </c>
      <c r="B193" s="1" t="str">
        <f>IF(Raw_data!B220="",NA(),Raw_data!B220)</f>
        <v>17-02-25</v>
      </c>
      <c r="C193" t="str">
        <f>IF(Raw_data!C220="",NA(),Raw_data!C220)</f>
        <v>Headphones</v>
      </c>
      <c r="D193" t="str">
        <f>IF(Raw_data!D220="",NA(),Raw_data!D220)</f>
        <v>Electronics</v>
      </c>
      <c r="E193">
        <f>IF(Raw_data!E220="",NA(),Raw_data!E220)</f>
        <v>100</v>
      </c>
      <c r="F193">
        <f>IF(Raw_data!F220="",NA(),Raw_data!F220)</f>
        <v>3</v>
      </c>
      <c r="G193">
        <f>IF(Raw_data!G220="",NA(),Raw_data!G220)</f>
        <v>300</v>
      </c>
      <c r="H193" t="str">
        <f>IF(Raw_data!H220="",NA(),Raw_data!H220)</f>
        <v>David Lee</v>
      </c>
      <c r="I193" t="str">
        <f>IF(Raw_data!I220="",NA(),Raw_data!I220)</f>
        <v>Houston</v>
      </c>
      <c r="J193" t="str">
        <f>IF(Raw_data!J220="",NA(),Raw_data!J220)</f>
        <v>PayPal</v>
      </c>
      <c r="K193" t="str">
        <f>IF(Raw_data!K220="",NA(),Raw_data!K220)</f>
        <v>Cancelled</v>
      </c>
      <c r="L193">
        <f t="shared" si="4"/>
        <v>1</v>
      </c>
      <c r="M193" t="str">
        <f t="shared" si="5"/>
        <v>17-02-25</v>
      </c>
      <c r="N193" t="str">
        <f>LEFT(Table2[[#This Row],[Date_text]],2)</f>
        <v>17</v>
      </c>
      <c r="O193" s="32" t="str">
        <f>MID(Table2[[#This Row],[Date_text]],4,2)</f>
        <v>02</v>
      </c>
      <c r="P193" t="str">
        <f>RIGHT(Table2[[#This Row],[Date_text]],2)</f>
        <v>25</v>
      </c>
    </row>
    <row r="194" spans="1:16" x14ac:dyDescent="0.25">
      <c r="A194" t="str">
        <f>IF(Raw_data!A221="",NA(),Raw_data!A221)</f>
        <v>ORD0220</v>
      </c>
      <c r="B194" s="1">
        <f>IF(Raw_data!B221="",NA(),Raw_data!B221)</f>
        <v>45932</v>
      </c>
      <c r="C194" t="str">
        <f>IF(Raw_data!C221="",NA(),Raw_data!C221)</f>
        <v>Smartwatch</v>
      </c>
      <c r="D194" t="str">
        <f>IF(Raw_data!D221="",NA(),Raw_data!D221)</f>
        <v>Electronics</v>
      </c>
      <c r="E194">
        <f>IF(Raw_data!E221="",NA(),Raw_data!E221)</f>
        <v>150</v>
      </c>
      <c r="F194">
        <f>IF(Raw_data!F221="",NA(),Raw_data!F221)</f>
        <v>3</v>
      </c>
      <c r="G194">
        <f>IF(Raw_data!G221="",NA(),Raw_data!G221)</f>
        <v>450</v>
      </c>
      <c r="H194" t="str">
        <f>IF(Raw_data!H221="",NA(),Raw_data!H221)</f>
        <v>Michael Brown</v>
      </c>
      <c r="I194" t="str">
        <f>IF(Raw_data!I221="",NA(),Raw_data!I221)</f>
        <v>Denver</v>
      </c>
      <c r="J194" t="str">
        <f>IF(Raw_data!J221="",NA(),Raw_data!J221)</f>
        <v>Debit Card</v>
      </c>
      <c r="K194" t="str">
        <f>IF(Raw_data!K221="",NA(),Raw_data!K221)</f>
        <v>Completed</v>
      </c>
      <c r="L194">
        <f t="shared" ref="L194:L219" si="6">COUNTIFS(A:A,A194,B:B,B194,C:C,C194,D:D,D194,E:E,E194,F:F,F194,G:G,G194,H:H,H194,I:I,I194,J:J,J194,K:K,K194)</f>
        <v>1</v>
      </c>
      <c r="M194" t="str">
        <f t="shared" ref="M194:M219" si="7">TEXT(B194,"dd-mm-yy")</f>
        <v>02-10-25</v>
      </c>
      <c r="N194" t="str">
        <f>LEFT(Table2[[#This Row],[Date_text]],2)</f>
        <v>02</v>
      </c>
      <c r="O194" s="32" t="str">
        <f>MID(Table2[[#This Row],[Date_text]],4,2)</f>
        <v>10</v>
      </c>
      <c r="P194" t="str">
        <f>RIGHT(Table2[[#This Row],[Date_text]],2)</f>
        <v>25</v>
      </c>
    </row>
    <row r="195" spans="1:16" x14ac:dyDescent="0.25">
      <c r="A195" t="str">
        <f>IF(Raw_data!A223="",NA(),Raw_data!A223)</f>
        <v>ORD0222</v>
      </c>
      <c r="B195" s="1" t="str">
        <f>IF(Raw_data!B223="",NA(),Raw_data!B223)</f>
        <v>16-02-25</v>
      </c>
      <c r="C195" t="str">
        <f>IF(Raw_data!C223="",NA(),Raw_data!C223)</f>
        <v>Washing Machine</v>
      </c>
      <c r="D195" t="str">
        <f>IF(Raw_data!D223="",NA(),Raw_data!D223)</f>
        <v>Home Appliances</v>
      </c>
      <c r="E195">
        <f>IF(Raw_data!E223="",NA(),Raw_data!E223)</f>
        <v>600</v>
      </c>
      <c r="F195">
        <f>IF(Raw_data!F223="",NA(),Raw_data!F223)</f>
        <v>2</v>
      </c>
      <c r="G195">
        <f>IF(Raw_data!G223="",NA(),Raw_data!G223)</f>
        <v>1200</v>
      </c>
      <c r="H195" t="str">
        <f>IF(Raw_data!H223="",NA(),Raw_data!H223)</f>
        <v>Chris White</v>
      </c>
      <c r="I195" t="str">
        <f>IF(Raw_data!I223="",NA(),Raw_data!I223)</f>
        <v>Seattle</v>
      </c>
      <c r="J195" t="str">
        <f>IF(Raw_data!J223="",NA(),Raw_data!J223)</f>
        <v>PayPal</v>
      </c>
      <c r="K195" t="str">
        <f>IF(Raw_data!K223="",NA(),Raw_data!K223)</f>
        <v>Cancelled</v>
      </c>
      <c r="L195">
        <f t="shared" si="6"/>
        <v>1</v>
      </c>
      <c r="M195" t="str">
        <f t="shared" si="7"/>
        <v>16-02-25</v>
      </c>
      <c r="N195" t="str">
        <f>LEFT(Table2[[#This Row],[Date_text]],2)</f>
        <v>16</v>
      </c>
      <c r="O195" s="32" t="str">
        <f>MID(Table2[[#This Row],[Date_text]],4,2)</f>
        <v>02</v>
      </c>
      <c r="P195" t="str">
        <f>RIGHT(Table2[[#This Row],[Date_text]],2)</f>
        <v>25</v>
      </c>
    </row>
    <row r="196" spans="1:16" x14ac:dyDescent="0.25">
      <c r="A196" t="str">
        <f>IF(Raw_data!A224="",NA(),Raw_data!A224)</f>
        <v>ORD0223</v>
      </c>
      <c r="B196" s="1" t="str">
        <f>IF(Raw_data!B224="",NA(),Raw_data!B224)</f>
        <v>24-03-25</v>
      </c>
      <c r="C196" t="str">
        <f>IF(Raw_data!C224="",NA(),Raw_data!C224)</f>
        <v>Jeans</v>
      </c>
      <c r="D196" t="str">
        <f>IF(Raw_data!D224="",NA(),Raw_data!D224)</f>
        <v>Clothing</v>
      </c>
      <c r="E196">
        <f>IF(Raw_data!E224="",NA(),Raw_data!E224)</f>
        <v>40</v>
      </c>
      <c r="F196">
        <v>3</v>
      </c>
      <c r="G196">
        <f>IF(Raw_data!G224="",NA(),Raw_data!G224)</f>
        <v>80</v>
      </c>
      <c r="H196" t="str">
        <f>IF(Raw_data!H224="",NA(),Raw_data!H224)</f>
        <v>David Lee</v>
      </c>
      <c r="I196" t="str">
        <f>IF(Raw_data!I224="",NA(),Raw_data!I224)</f>
        <v>Denver</v>
      </c>
      <c r="J196" t="str">
        <f>IF(Raw_data!J224="",NA(),Raw_data!J224)</f>
        <v>Amazon Pay</v>
      </c>
      <c r="K196" t="str">
        <f>IF(Raw_data!K224="",NA(),Raw_data!K224)</f>
        <v>Cancelled</v>
      </c>
      <c r="L196">
        <f t="shared" si="6"/>
        <v>1</v>
      </c>
      <c r="M196" t="str">
        <f t="shared" si="7"/>
        <v>24-03-25</v>
      </c>
      <c r="N196" t="str">
        <f>LEFT(Table2[[#This Row],[Date_text]],2)</f>
        <v>24</v>
      </c>
      <c r="O196" s="32" t="str">
        <f>MID(Table2[[#This Row],[Date_text]],4,2)</f>
        <v>03</v>
      </c>
      <c r="P196" t="str">
        <f>RIGHT(Table2[[#This Row],[Date_text]],2)</f>
        <v>25</v>
      </c>
    </row>
    <row r="197" spans="1:16" x14ac:dyDescent="0.25">
      <c r="A197" t="str">
        <f>IF(Raw_data!A225="",NA(),Raw_data!A225)</f>
        <v>ORD0224</v>
      </c>
      <c r="B197" s="1" t="str">
        <f>IF(Raw_data!B225="",NA(),Raw_data!B225)</f>
        <v>18-03-25</v>
      </c>
      <c r="C197" t="str">
        <f>IF(Raw_data!C225="",NA(),Raw_data!C225)</f>
        <v>Refrigerator</v>
      </c>
      <c r="D197" t="str">
        <f>IF(Raw_data!D225="",NA(),Raw_data!D225)</f>
        <v>Home Appliances</v>
      </c>
      <c r="E197">
        <f>IF(Raw_data!E225="",NA(),Raw_data!E225)</f>
        <v>1200</v>
      </c>
      <c r="F197">
        <f>IF(Raw_data!F225="",NA(),Raw_data!F225)</f>
        <v>1</v>
      </c>
      <c r="G197">
        <f>IF(Raw_data!G225="",NA(),Raw_data!G225)</f>
        <v>1200</v>
      </c>
      <c r="H197" t="str">
        <f>IF(Raw_data!H225="",NA(),Raw_data!H225)</f>
        <v>Jane Smith</v>
      </c>
      <c r="I197" t="str">
        <f>IF(Raw_data!I225="",NA(),Raw_data!I225)</f>
        <v>Miami</v>
      </c>
      <c r="J197" t="str">
        <f>IF(Raw_data!J225="",NA(),Raw_data!J225)</f>
        <v>PayPal</v>
      </c>
      <c r="K197" t="str">
        <f>IF(Raw_data!K225="",NA(),Raw_data!K225)</f>
        <v>Completed</v>
      </c>
      <c r="L197">
        <f t="shared" si="6"/>
        <v>1</v>
      </c>
      <c r="M197" t="str">
        <f t="shared" si="7"/>
        <v>18-03-25</v>
      </c>
      <c r="N197" t="str">
        <f>LEFT(Table2[[#This Row],[Date_text]],2)</f>
        <v>18</v>
      </c>
      <c r="O197" s="32" t="str">
        <f>MID(Table2[[#This Row],[Date_text]],4,2)</f>
        <v>03</v>
      </c>
      <c r="P197" t="str">
        <f>RIGHT(Table2[[#This Row],[Date_text]],2)</f>
        <v>25</v>
      </c>
    </row>
    <row r="198" spans="1:16" x14ac:dyDescent="0.25">
      <c r="A198" t="str">
        <f>IF(Raw_data!A227="",NA(),Raw_data!A227)</f>
        <v>ORD0226</v>
      </c>
      <c r="B198" s="1">
        <f>IF(Raw_data!B227="",NA(),Raw_data!B227)</f>
        <v>45780</v>
      </c>
      <c r="C198" t="str">
        <f>IF(Raw_data!C227="",NA(),Raw_data!C227)</f>
        <v>Running Shoes</v>
      </c>
      <c r="D198" t="str">
        <f>IF(Raw_data!D227="",NA(),Raw_data!D227)</f>
        <v>Footwear</v>
      </c>
      <c r="E198">
        <f>IF(Raw_data!E227="",NA(),Raw_data!E227)</f>
        <v>60</v>
      </c>
      <c r="F198">
        <v>3</v>
      </c>
      <c r="G198">
        <f>IF(Raw_data!G227="",NA(),Raw_data!G227)</f>
        <v>240</v>
      </c>
      <c r="H198" t="str">
        <f>IF(Raw_data!H227="",NA(),Raw_data!H227)</f>
        <v>Chris White</v>
      </c>
      <c r="I198" t="str">
        <f>IF(Raw_data!I227="",NA(),Raw_data!I227)</f>
        <v>Chicago</v>
      </c>
      <c r="J198" t="str">
        <f>IF(Raw_data!J227="",NA(),Raw_data!J227)</f>
        <v>Amazon Pay</v>
      </c>
      <c r="K198" t="str">
        <f>IF(Raw_data!K227="",NA(),Raw_data!K227)</f>
        <v>Completed</v>
      </c>
      <c r="L198">
        <f t="shared" si="6"/>
        <v>1</v>
      </c>
      <c r="M198" t="str">
        <f t="shared" si="7"/>
        <v>03-05-25</v>
      </c>
      <c r="N198" t="str">
        <f>LEFT(Table2[[#This Row],[Date_text]],2)</f>
        <v>03</v>
      </c>
      <c r="O198" s="32" t="str">
        <f>MID(Table2[[#This Row],[Date_text]],4,2)</f>
        <v>05</v>
      </c>
      <c r="P198" t="str">
        <f>RIGHT(Table2[[#This Row],[Date_text]],2)</f>
        <v>25</v>
      </c>
    </row>
    <row r="199" spans="1:16" x14ac:dyDescent="0.25">
      <c r="A199" t="str">
        <f>IF(Raw_data!A228="",NA(),Raw_data!A228)</f>
        <v>ORD0227</v>
      </c>
      <c r="B199" s="1">
        <f>IF(Raw_data!B228="",NA(),Raw_data!B228)</f>
        <v>45692</v>
      </c>
      <c r="C199" t="str">
        <f>IF(Raw_data!C228="",NA(),Raw_data!C228)</f>
        <v>Headphones</v>
      </c>
      <c r="D199" t="str">
        <f>IF(Raw_data!D228="",NA(),Raw_data!D228)</f>
        <v>Electronics</v>
      </c>
      <c r="E199">
        <f>IF(Raw_data!E228="",NA(),Raw_data!E228)</f>
        <v>100</v>
      </c>
      <c r="F199">
        <f>IF(Raw_data!F228="",NA(),Raw_data!F228)</f>
        <v>5</v>
      </c>
      <c r="G199">
        <f>IF(Raw_data!G228="",NA(),Raw_data!G228)</f>
        <v>500</v>
      </c>
      <c r="H199" t="str">
        <f>IF(Raw_data!H228="",NA(),Raw_data!H228)</f>
        <v>Emma Clark</v>
      </c>
      <c r="I199" t="str">
        <f>IF(Raw_data!I228="",NA(),Raw_data!I228)</f>
        <v>Miami</v>
      </c>
      <c r="J199" t="str">
        <f>IF(Raw_data!J228="",NA(),Raw_data!J228)</f>
        <v>Amazon Pay</v>
      </c>
      <c r="K199" t="str">
        <f>IF(Raw_data!K228="",NA(),Raw_data!K228)</f>
        <v>Cancelled</v>
      </c>
      <c r="L199">
        <f t="shared" si="6"/>
        <v>1</v>
      </c>
      <c r="M199" t="str">
        <f t="shared" si="7"/>
        <v>04-02-25</v>
      </c>
      <c r="N199" t="str">
        <f>LEFT(Table2[[#This Row],[Date_text]],2)</f>
        <v>04</v>
      </c>
      <c r="O199" s="32" t="str">
        <f>MID(Table2[[#This Row],[Date_text]],4,2)</f>
        <v>02</v>
      </c>
      <c r="P199" t="str">
        <f>RIGHT(Table2[[#This Row],[Date_text]],2)</f>
        <v>25</v>
      </c>
    </row>
    <row r="200" spans="1:16" x14ac:dyDescent="0.25">
      <c r="A200" t="str">
        <f>IF(Raw_data!A229="",NA(),Raw_data!A229)</f>
        <v>ORD0228</v>
      </c>
      <c r="B200" s="1">
        <f>IF(Raw_data!B229="",NA(),Raw_data!B229)</f>
        <v>45993</v>
      </c>
      <c r="C200" t="str">
        <f>IF(Raw_data!C229="",NA(),Raw_data!C229)</f>
        <v>Running Shoes</v>
      </c>
      <c r="D200" t="str">
        <f>IF(Raw_data!D229="",NA(),Raw_data!D229)</f>
        <v>Footwear</v>
      </c>
      <c r="E200">
        <f>IF(Raw_data!E229="",NA(),Raw_data!E229)</f>
        <v>60</v>
      </c>
      <c r="F200">
        <f>IF(Raw_data!F229="",NA(),Raw_data!F229)</f>
        <v>1</v>
      </c>
      <c r="G200">
        <f>IF(Raw_data!G229="",NA(),Raw_data!G229)</f>
        <v>60</v>
      </c>
      <c r="H200" t="str">
        <f>IF(Raw_data!H229="",NA(),Raw_data!H229)</f>
        <v>David Lee</v>
      </c>
      <c r="I200" t="str">
        <f>IF(Raw_data!I229="",NA(),Raw_data!I229)</f>
        <v>San Francisco</v>
      </c>
      <c r="J200" t="str">
        <f>IF(Raw_data!J229="",NA(),Raw_data!J229)</f>
        <v>Credit Card</v>
      </c>
      <c r="K200" t="str">
        <f>IF(Raw_data!K229="",NA(),Raw_data!K229)</f>
        <v>Pending</v>
      </c>
      <c r="L200">
        <f t="shared" si="6"/>
        <v>1</v>
      </c>
      <c r="M200" t="str">
        <f t="shared" si="7"/>
        <v>02-12-25</v>
      </c>
      <c r="N200" t="str">
        <f>LEFT(Table2[[#This Row],[Date_text]],2)</f>
        <v>02</v>
      </c>
      <c r="O200" s="32" t="str">
        <f>MID(Table2[[#This Row],[Date_text]],4,2)</f>
        <v>12</v>
      </c>
      <c r="P200" t="str">
        <f>RIGHT(Table2[[#This Row],[Date_text]],2)</f>
        <v>25</v>
      </c>
    </row>
    <row r="201" spans="1:16" x14ac:dyDescent="0.25">
      <c r="A201" t="str">
        <f>IF(Raw_data!A230="",NA(),Raw_data!A230)</f>
        <v>ORD0229</v>
      </c>
      <c r="B201" s="1" t="str">
        <f>IF(Raw_data!B230="",NA(),Raw_data!B230)</f>
        <v>21-03-25</v>
      </c>
      <c r="C201" t="str">
        <f>IF(Raw_data!C230="",NA(),Raw_data!C230)</f>
        <v>Running Shoes</v>
      </c>
      <c r="D201" t="str">
        <f>IF(Raw_data!D230="",NA(),Raw_data!D230)</f>
        <v>Footwear</v>
      </c>
      <c r="E201">
        <f>IF(Raw_data!E230="",NA(),Raw_data!E230)</f>
        <v>60</v>
      </c>
      <c r="F201">
        <f>IF(Raw_data!F230="",NA(),Raw_data!F230)</f>
        <v>3</v>
      </c>
      <c r="G201">
        <f>IF(Raw_data!G230="",NA(),Raw_data!G230)</f>
        <v>180</v>
      </c>
      <c r="H201" t="str">
        <f>IF(Raw_data!H230="",NA(),Raw_data!H230)</f>
        <v>Emma Clark</v>
      </c>
      <c r="I201" t="str">
        <f>IF(Raw_data!I230="",NA(),Raw_data!I230)</f>
        <v>San Francisco</v>
      </c>
      <c r="J201" t="str">
        <f>IF(Raw_data!J230="",NA(),Raw_data!J230)</f>
        <v>Credit Card</v>
      </c>
      <c r="K201" t="str">
        <f>IF(Raw_data!K230="",NA(),Raw_data!K230)</f>
        <v>Pending</v>
      </c>
      <c r="L201">
        <f t="shared" si="6"/>
        <v>1</v>
      </c>
      <c r="M201" t="str">
        <f t="shared" si="7"/>
        <v>21-03-25</v>
      </c>
      <c r="N201" t="str">
        <f>LEFT(Table2[[#This Row],[Date_text]],2)</f>
        <v>21</v>
      </c>
      <c r="O201" s="32" t="str">
        <f>MID(Table2[[#This Row],[Date_text]],4,2)</f>
        <v>03</v>
      </c>
      <c r="P201" t="str">
        <f>RIGHT(Table2[[#This Row],[Date_text]],2)</f>
        <v>25</v>
      </c>
    </row>
    <row r="202" spans="1:16" x14ac:dyDescent="0.25">
      <c r="A202" t="str">
        <f>IF(Raw_data!A231="",NA(),Raw_data!A231)</f>
        <v>ORD0230</v>
      </c>
      <c r="B202" s="1" t="str">
        <f>IF(Raw_data!B231="",NA(),Raw_data!B231)</f>
        <v>31-03-25</v>
      </c>
      <c r="C202" t="str">
        <f>IF(Raw_data!C231="",NA(),Raw_data!C231)</f>
        <v>Headphones</v>
      </c>
      <c r="D202" t="str">
        <f>IF(Raw_data!D231="",NA(),Raw_data!D231)</f>
        <v>Electronics</v>
      </c>
      <c r="E202">
        <f>IF(Raw_data!E231="",NA(),Raw_data!E231)</f>
        <v>100</v>
      </c>
      <c r="F202">
        <f>IF(Raw_data!F231="",NA(),Raw_data!F231)</f>
        <v>4</v>
      </c>
      <c r="G202">
        <f>IF(Raw_data!G231="",NA(),Raw_data!G231)</f>
        <v>400</v>
      </c>
      <c r="H202" t="str">
        <f>IF(Raw_data!H231="",NA(),Raw_data!H231)</f>
        <v>Jane Smith</v>
      </c>
      <c r="I202" t="str">
        <f>IF(Raw_data!I231="",NA(),Raw_data!I231)</f>
        <v>San Francisco</v>
      </c>
      <c r="J202" t="str">
        <f>IF(Raw_data!J231="",NA(),Raw_data!J231)</f>
        <v>Amazon Pay</v>
      </c>
      <c r="K202" t="str">
        <f>IF(Raw_data!K231="",NA(),Raw_data!K231)</f>
        <v>Pending</v>
      </c>
      <c r="L202">
        <f t="shared" si="6"/>
        <v>1</v>
      </c>
      <c r="M202" t="str">
        <f t="shared" si="7"/>
        <v>31-03-25</v>
      </c>
      <c r="N202" t="str">
        <f>LEFT(Table2[[#This Row],[Date_text]],2)</f>
        <v>31</v>
      </c>
      <c r="O202" s="32" t="str">
        <f>MID(Table2[[#This Row],[Date_text]],4,2)</f>
        <v>03</v>
      </c>
      <c r="P202" t="str">
        <f>RIGHT(Table2[[#This Row],[Date_text]],2)</f>
        <v>25</v>
      </c>
    </row>
    <row r="203" spans="1:16" x14ac:dyDescent="0.25">
      <c r="A203" t="str">
        <f>IF(Raw_data!A232="",NA(),Raw_data!A232)</f>
        <v>ORD0231</v>
      </c>
      <c r="B203" s="1" t="str">
        <f>IF(Raw_data!B232="",NA(),Raw_data!B232)</f>
        <v>16-02-25</v>
      </c>
      <c r="C203" t="str">
        <f>IF(Raw_data!C232="",NA(),Raw_data!C232)</f>
        <v>Laptop</v>
      </c>
      <c r="D203" t="str">
        <f>IF(Raw_data!D232="",NA(),Raw_data!D232)</f>
        <v>Electronics</v>
      </c>
      <c r="E203">
        <f>IF(Raw_data!E232="",NA(),Raw_data!E232)</f>
        <v>800</v>
      </c>
      <c r="F203">
        <f>IF(Raw_data!F232="",NA(),Raw_data!F232)</f>
        <v>5</v>
      </c>
      <c r="G203">
        <f>IF(Raw_data!G232="",NA(),Raw_data!G232)</f>
        <v>4000</v>
      </c>
      <c r="H203" t="str">
        <f>IF(Raw_data!H232="",NA(),Raw_data!H232)</f>
        <v>Jane Smith</v>
      </c>
      <c r="I203" t="str">
        <f>IF(Raw_data!I232="",NA(),Raw_data!I232)</f>
        <v>Boston</v>
      </c>
      <c r="J203" t="str">
        <f>IF(Raw_data!J232="",NA(),Raw_data!J232)</f>
        <v>Credit Card</v>
      </c>
      <c r="K203" t="str">
        <f>IF(Raw_data!K232="",NA(),Raw_data!K232)</f>
        <v>Cancelled</v>
      </c>
      <c r="L203">
        <f t="shared" si="6"/>
        <v>1</v>
      </c>
      <c r="M203" t="str">
        <f t="shared" si="7"/>
        <v>16-02-25</v>
      </c>
      <c r="N203" t="str">
        <f>LEFT(Table2[[#This Row],[Date_text]],2)</f>
        <v>16</v>
      </c>
      <c r="O203" s="32" t="str">
        <f>MID(Table2[[#This Row],[Date_text]],4,2)</f>
        <v>02</v>
      </c>
      <c r="P203" t="str">
        <f>RIGHT(Table2[[#This Row],[Date_text]],2)</f>
        <v>25</v>
      </c>
    </row>
    <row r="204" spans="1:16" x14ac:dyDescent="0.25">
      <c r="A204" t="str">
        <f>IF(Raw_data!A233="",NA(),Raw_data!A233)</f>
        <v>ORD0232</v>
      </c>
      <c r="B204" s="1" t="str">
        <f>IF(Raw_data!B233="",NA(),Raw_data!B233)</f>
        <v>14-03-25</v>
      </c>
      <c r="C204" t="str">
        <f>IF(Raw_data!C233="",NA(),Raw_data!C233)</f>
        <v>Refrigerator</v>
      </c>
      <c r="D204" t="str">
        <f>IF(Raw_data!D233="",NA(),Raw_data!D233)</f>
        <v>Home Appliances</v>
      </c>
      <c r="E204">
        <f>IF(Raw_data!E233="",NA(),Raw_data!E233)</f>
        <v>1200</v>
      </c>
      <c r="F204">
        <f>IF(Raw_data!F233="",NA(),Raw_data!F233)</f>
        <v>3</v>
      </c>
      <c r="G204">
        <f>IF(Raw_data!G233="",NA(),Raw_data!G233)</f>
        <v>3600</v>
      </c>
      <c r="H204" t="str">
        <f>IF(Raw_data!H233="",NA(),Raw_data!H233)</f>
        <v>Emma Clark</v>
      </c>
      <c r="I204" t="str">
        <f>IF(Raw_data!I233="",NA(),Raw_data!I233)</f>
        <v>Los Angeles</v>
      </c>
      <c r="J204" t="str">
        <f>IF(Raw_data!J233="",NA(),Raw_data!J233)</f>
        <v>Credit Card</v>
      </c>
      <c r="K204" t="str">
        <f>IF(Raw_data!K233="",NA(),Raw_data!K233)</f>
        <v>Completed</v>
      </c>
      <c r="L204">
        <f t="shared" si="6"/>
        <v>1</v>
      </c>
      <c r="M204" t="str">
        <f t="shared" si="7"/>
        <v>14-03-25</v>
      </c>
      <c r="N204" t="str">
        <f>LEFT(Table2[[#This Row],[Date_text]],2)</f>
        <v>14</v>
      </c>
      <c r="O204" s="32" t="str">
        <f>MID(Table2[[#This Row],[Date_text]],4,2)</f>
        <v>03</v>
      </c>
      <c r="P204" t="str">
        <f>RIGHT(Table2[[#This Row],[Date_text]],2)</f>
        <v>25</v>
      </c>
    </row>
    <row r="205" spans="1:16" x14ac:dyDescent="0.25">
      <c r="A205" t="str">
        <f>IF(Raw_data!A234="",NA(),Raw_data!A234)</f>
        <v>ORD0233</v>
      </c>
      <c r="B205" s="1" t="str">
        <f>IF(Raw_data!B234="",NA(),Raw_data!B234)</f>
        <v>20-02-25</v>
      </c>
      <c r="C205" t="str">
        <f>IF(Raw_data!C234="",NA(),Raw_data!C234)</f>
        <v>Running Shoes</v>
      </c>
      <c r="D205" t="str">
        <f>IF(Raw_data!D234="",NA(),Raw_data!D234)</f>
        <v>Footwear</v>
      </c>
      <c r="E205">
        <f>IF(Raw_data!E234="",NA(),Raw_data!E234)</f>
        <v>60</v>
      </c>
      <c r="F205">
        <f>IF(Raw_data!F234="",NA(),Raw_data!F234)</f>
        <v>1</v>
      </c>
      <c r="G205">
        <f>IF(Raw_data!G234="",NA(),Raw_data!G234)</f>
        <v>60</v>
      </c>
      <c r="H205" t="str">
        <f>IF(Raw_data!H234="",NA(),Raw_data!H234)</f>
        <v>David Lee</v>
      </c>
      <c r="I205" t="str">
        <f>IF(Raw_data!I234="",NA(),Raw_data!I234)</f>
        <v>Boston</v>
      </c>
      <c r="J205" t="str">
        <f>IF(Raw_data!J234="",NA(),Raw_data!J234)</f>
        <v>PayPal</v>
      </c>
      <c r="K205" t="str">
        <f>IF(Raw_data!K234="",NA(),Raw_data!K234)</f>
        <v>Cancelled</v>
      </c>
      <c r="L205">
        <f t="shared" si="6"/>
        <v>1</v>
      </c>
      <c r="M205" t="str">
        <f t="shared" si="7"/>
        <v>20-02-25</v>
      </c>
      <c r="N205" t="str">
        <f>LEFT(Table2[[#This Row],[Date_text]],2)</f>
        <v>20</v>
      </c>
      <c r="O205" s="32" t="str">
        <f>MID(Table2[[#This Row],[Date_text]],4,2)</f>
        <v>02</v>
      </c>
      <c r="P205" t="str">
        <f>RIGHT(Table2[[#This Row],[Date_text]],2)</f>
        <v>25</v>
      </c>
    </row>
    <row r="206" spans="1:16" x14ac:dyDescent="0.25">
      <c r="A206" t="str">
        <f>IF(Raw_data!A235="",NA(),Raw_data!A235)</f>
        <v>ORD0234</v>
      </c>
      <c r="B206" s="1">
        <f>IF(Raw_data!B235="",NA(),Raw_data!B235)</f>
        <v>45872</v>
      </c>
      <c r="C206" t="str">
        <f>IF(Raw_data!C235="",NA(),Raw_data!C235)</f>
        <v>Book</v>
      </c>
      <c r="D206" t="str">
        <f>IF(Raw_data!D235="",NA(),Raw_data!D235)</f>
        <v>Books</v>
      </c>
      <c r="E206">
        <f>IF(Raw_data!E235="",NA(),Raw_data!E235)</f>
        <v>15</v>
      </c>
      <c r="F206">
        <f>IF(Raw_data!F235="",NA(),Raw_data!F235)</f>
        <v>1</v>
      </c>
      <c r="G206">
        <f>IF(Raw_data!G235="",NA(),Raw_data!G235)</f>
        <v>15</v>
      </c>
      <c r="H206" t="str">
        <f>IF(Raw_data!H235="",NA(),Raw_data!H235)</f>
        <v>Jane Smith</v>
      </c>
      <c r="I206" t="str">
        <f>IF(Raw_data!I235="",NA(),Raw_data!I235)</f>
        <v>Miami</v>
      </c>
      <c r="J206" t="str">
        <f>IF(Raw_data!J235="",NA(),Raw_data!J235)</f>
        <v>Amazon Pay</v>
      </c>
      <c r="K206" t="str">
        <f>IF(Raw_data!K235="",NA(),Raw_data!K235)</f>
        <v>Cancelled</v>
      </c>
      <c r="L206">
        <f t="shared" si="6"/>
        <v>1</v>
      </c>
      <c r="M206" t="str">
        <f t="shared" si="7"/>
        <v>03-08-25</v>
      </c>
      <c r="N206" t="str">
        <f>LEFT(Table2[[#This Row],[Date_text]],2)</f>
        <v>03</v>
      </c>
      <c r="O206" s="32" t="str">
        <f>MID(Table2[[#This Row],[Date_text]],4,2)</f>
        <v>08</v>
      </c>
      <c r="P206" t="str">
        <f>RIGHT(Table2[[#This Row],[Date_text]],2)</f>
        <v>25</v>
      </c>
    </row>
    <row r="207" spans="1:16" x14ac:dyDescent="0.25">
      <c r="A207" t="str">
        <f>IF(Raw_data!A236="",NA(),Raw_data!A236)</f>
        <v>ORD0235</v>
      </c>
      <c r="B207" s="1" t="str">
        <f>IF(Raw_data!B236="",NA(),Raw_data!B236)</f>
        <v>23-03-25</v>
      </c>
      <c r="C207" t="str">
        <f>IF(Raw_data!C236="",NA(),Raw_data!C236)</f>
        <v>Refrigerator</v>
      </c>
      <c r="D207" t="str">
        <f>IF(Raw_data!D236="",NA(),Raw_data!D236)</f>
        <v>Home Appliances</v>
      </c>
      <c r="E207">
        <f>IF(Raw_data!E236="",NA(),Raw_data!E236)</f>
        <v>1200</v>
      </c>
      <c r="F207">
        <f>IF(Raw_data!F236="",NA(),Raw_data!F236)</f>
        <v>1</v>
      </c>
      <c r="G207">
        <f>IF(Raw_data!G236="",NA(),Raw_data!G236)</f>
        <v>1200</v>
      </c>
      <c r="H207" t="str">
        <f>IF(Raw_data!H236="",NA(),Raw_data!H236)</f>
        <v>Daniel Harris</v>
      </c>
      <c r="I207" t="str">
        <f>IF(Raw_data!I236="",NA(),Raw_data!I236)</f>
        <v>Dallas</v>
      </c>
      <c r="J207" t="str">
        <f>IF(Raw_data!J236="",NA(),Raw_data!J236)</f>
        <v>PayPal</v>
      </c>
      <c r="K207" t="str">
        <f>IF(Raw_data!K236="",NA(),Raw_data!K236)</f>
        <v>Completed</v>
      </c>
      <c r="L207">
        <f t="shared" si="6"/>
        <v>1</v>
      </c>
      <c r="M207" t="str">
        <f t="shared" si="7"/>
        <v>23-03-25</v>
      </c>
      <c r="N207" t="str">
        <f>LEFT(Table2[[#This Row],[Date_text]],2)</f>
        <v>23</v>
      </c>
      <c r="O207" s="32" t="str">
        <f>MID(Table2[[#This Row],[Date_text]],4,2)</f>
        <v>03</v>
      </c>
      <c r="P207" t="str">
        <f>RIGHT(Table2[[#This Row],[Date_text]],2)</f>
        <v>25</v>
      </c>
    </row>
    <row r="208" spans="1:16" x14ac:dyDescent="0.25">
      <c r="A208" t="str">
        <f>IF(Raw_data!A237="",NA(),Raw_data!A237)</f>
        <v>ORD0236</v>
      </c>
      <c r="B208" s="1">
        <f>IF(Raw_data!B237="",NA(),Raw_data!B237)</f>
        <v>45780</v>
      </c>
      <c r="C208" t="str">
        <f>IF(Raw_data!C237="",NA(),Raw_data!C237)</f>
        <v>Smartphone</v>
      </c>
      <c r="D208" t="str">
        <f>IF(Raw_data!D237="",NA(),Raw_data!D237)</f>
        <v>Electronics</v>
      </c>
      <c r="E208">
        <f>IF(Raw_data!E237="",NA(),Raw_data!E237)</f>
        <v>500</v>
      </c>
      <c r="F208">
        <f>IF(Raw_data!F237="",NA(),Raw_data!F237)</f>
        <v>5</v>
      </c>
      <c r="G208">
        <f>IF(Raw_data!G237="",NA(),Raw_data!G237)</f>
        <v>2500</v>
      </c>
      <c r="H208" t="str">
        <f>IF(Raw_data!H237="",NA(),Raw_data!H237)</f>
        <v>John Doe</v>
      </c>
      <c r="I208" t="str">
        <f>IF(Raw_data!I237="",NA(),Raw_data!I237)</f>
        <v>Boston</v>
      </c>
      <c r="J208" t="str">
        <f>IF(Raw_data!J237="",NA(),Raw_data!J237)</f>
        <v>PayPal</v>
      </c>
      <c r="K208" t="str">
        <f>IF(Raw_data!K237="",NA(),Raw_data!K237)</f>
        <v>Completed</v>
      </c>
      <c r="L208">
        <f t="shared" si="6"/>
        <v>1</v>
      </c>
      <c r="M208" t="str">
        <f t="shared" si="7"/>
        <v>03-05-25</v>
      </c>
      <c r="N208" t="str">
        <f>LEFT(Table2[[#This Row],[Date_text]],2)</f>
        <v>03</v>
      </c>
      <c r="O208" s="32" t="str">
        <f>MID(Table2[[#This Row],[Date_text]],4,2)</f>
        <v>05</v>
      </c>
      <c r="P208" t="str">
        <f>RIGHT(Table2[[#This Row],[Date_text]],2)</f>
        <v>25</v>
      </c>
    </row>
    <row r="209" spans="1:16" x14ac:dyDescent="0.25">
      <c r="A209" t="str">
        <f>IF(Raw_data!A238="",NA(),Raw_data!A238)</f>
        <v>ORD0237</v>
      </c>
      <c r="B209" s="1">
        <f>IF(Raw_data!B238="",NA(),Raw_data!B238)</f>
        <v>45963</v>
      </c>
      <c r="C209" t="str">
        <f>IF(Raw_data!C238="",NA(),Raw_data!C238)</f>
        <v>Headphones</v>
      </c>
      <c r="D209" t="str">
        <f>IF(Raw_data!D238="",NA(),Raw_data!D238)</f>
        <v>Electronics</v>
      </c>
      <c r="E209">
        <f>IF(Raw_data!E238="",NA(),Raw_data!E238)</f>
        <v>100</v>
      </c>
      <c r="F209">
        <f>IF(Raw_data!F238="",NA(),Raw_data!F238)</f>
        <v>3</v>
      </c>
      <c r="G209">
        <f>IF(Raw_data!G238="",NA(),Raw_data!G238)</f>
        <v>300</v>
      </c>
      <c r="H209" t="str">
        <f>IF(Raw_data!H238="",NA(),Raw_data!H238)</f>
        <v>Michael Brown</v>
      </c>
      <c r="I209" t="str">
        <f>IF(Raw_data!I238="",NA(),Raw_data!I238)</f>
        <v>Houston</v>
      </c>
      <c r="J209" t="str">
        <f>IF(Raw_data!J238="",NA(),Raw_data!J238)</f>
        <v>Debit Card</v>
      </c>
      <c r="K209" t="str">
        <f>IF(Raw_data!K238="",NA(),Raw_data!K238)</f>
        <v>Cancelled</v>
      </c>
      <c r="L209">
        <f t="shared" si="6"/>
        <v>1</v>
      </c>
      <c r="M209" t="str">
        <f t="shared" si="7"/>
        <v>02-11-25</v>
      </c>
      <c r="N209" t="str">
        <f>LEFT(Table2[[#This Row],[Date_text]],2)</f>
        <v>02</v>
      </c>
      <c r="O209" s="32" t="str">
        <f>MID(Table2[[#This Row],[Date_text]],4,2)</f>
        <v>11</v>
      </c>
      <c r="P209" t="str">
        <f>RIGHT(Table2[[#This Row],[Date_text]],2)</f>
        <v>25</v>
      </c>
    </row>
    <row r="210" spans="1:16" x14ac:dyDescent="0.25">
      <c r="A210" t="str">
        <f>IF(Raw_data!A239="",NA(),Raw_data!A239)</f>
        <v>ORD0238</v>
      </c>
      <c r="B210" s="1" t="str">
        <f>IF(Raw_data!B239="",NA(),Raw_data!B239)</f>
        <v>16-03-25</v>
      </c>
      <c r="C210" t="str">
        <f>IF(Raw_data!C239="",NA(),Raw_data!C239)</f>
        <v>Headphones</v>
      </c>
      <c r="D210" t="str">
        <f>IF(Raw_data!D239="",NA(),Raw_data!D239)</f>
        <v>Electronics</v>
      </c>
      <c r="E210">
        <f>IF(Raw_data!E239="",NA(),Raw_data!E239)</f>
        <v>100</v>
      </c>
      <c r="F210">
        <v>3</v>
      </c>
      <c r="G210">
        <f>IF(Raw_data!G239="",NA(),Raw_data!G239)</f>
        <v>100</v>
      </c>
      <c r="H210" t="str">
        <f>IF(Raw_data!H239="",NA(),Raw_data!H239)</f>
        <v>Olivia Wilson</v>
      </c>
      <c r="I210" t="str">
        <f>IF(Raw_data!I239="",NA(),Raw_data!I239)</f>
        <v>Denver</v>
      </c>
      <c r="J210" t="str">
        <f>IF(Raw_data!J239="",NA(),Raw_data!J239)</f>
        <v>PayPal</v>
      </c>
      <c r="K210" t="str">
        <f>IF(Raw_data!K239="",NA(),Raw_data!K239)</f>
        <v>Completed</v>
      </c>
      <c r="L210">
        <f t="shared" si="6"/>
        <v>1</v>
      </c>
      <c r="M210" t="str">
        <f t="shared" si="7"/>
        <v>16-03-25</v>
      </c>
      <c r="N210" t="str">
        <f>LEFT(Table2[[#This Row],[Date_text]],2)</f>
        <v>16</v>
      </c>
      <c r="O210" s="32" t="str">
        <f>MID(Table2[[#This Row],[Date_text]],4,2)</f>
        <v>03</v>
      </c>
      <c r="P210" t="str">
        <f>RIGHT(Table2[[#This Row],[Date_text]],2)</f>
        <v>25</v>
      </c>
    </row>
    <row r="211" spans="1:16" x14ac:dyDescent="0.25">
      <c r="A211" t="str">
        <f>IF(Raw_data!A242="",NA(),Raw_data!A242)</f>
        <v>ORD0241</v>
      </c>
      <c r="B211" s="1" t="str">
        <f>IF(Raw_data!B242="",NA(),Raw_data!B242)</f>
        <v>30-03-25</v>
      </c>
      <c r="C211" t="str">
        <f>IF(Raw_data!C242="",NA(),Raw_data!C242)</f>
        <v>Smartphone</v>
      </c>
      <c r="D211" t="str">
        <f>IF(Raw_data!D242="",NA(),Raw_data!D242)</f>
        <v>Electronics</v>
      </c>
      <c r="E211">
        <f>IF(Raw_data!E242="",NA(),Raw_data!E242)</f>
        <v>500</v>
      </c>
      <c r="F211">
        <f>IF(Raw_data!F242="",NA(),Raw_data!F242)</f>
        <v>4</v>
      </c>
      <c r="G211">
        <f>IF(Raw_data!G242="",NA(),Raw_data!G242)</f>
        <v>2000</v>
      </c>
      <c r="H211" t="str">
        <f>IF(Raw_data!H242="",NA(),Raw_data!H242)</f>
        <v>Olivia Wilson</v>
      </c>
      <c r="I211" t="str">
        <f>IF(Raw_data!I242="",NA(),Raw_data!I242)</f>
        <v>New York</v>
      </c>
      <c r="J211" t="str">
        <f>IF(Raw_data!J242="",NA(),Raw_data!J242)</f>
        <v>Credit Card</v>
      </c>
      <c r="K211" t="str">
        <f>IF(Raw_data!K242="",NA(),Raw_data!K242)</f>
        <v>Pending</v>
      </c>
      <c r="L211">
        <f t="shared" si="6"/>
        <v>1</v>
      </c>
      <c r="M211" t="str">
        <f t="shared" si="7"/>
        <v>30-03-25</v>
      </c>
      <c r="N211" t="str">
        <f>LEFT(Table2[[#This Row],[Date_text]],2)</f>
        <v>30</v>
      </c>
      <c r="O211" s="32" t="str">
        <f>MID(Table2[[#This Row],[Date_text]],4,2)</f>
        <v>03</v>
      </c>
      <c r="P211" t="str">
        <f>RIGHT(Table2[[#This Row],[Date_text]],2)</f>
        <v>25</v>
      </c>
    </row>
    <row r="212" spans="1:16" x14ac:dyDescent="0.25">
      <c r="A212" t="str">
        <f>IF(Raw_data!A243="",NA(),Raw_data!A243)</f>
        <v>ORD0242</v>
      </c>
      <c r="B212" s="1">
        <f>IF(Raw_data!B243="",NA(),Raw_data!B243)</f>
        <v>45872</v>
      </c>
      <c r="C212" t="str">
        <f>IF(Raw_data!C243="",NA(),Raw_data!C243)</f>
        <v>Smartphone</v>
      </c>
      <c r="D212" t="str">
        <f>IF(Raw_data!D243="",NA(),Raw_data!D243)</f>
        <v>Electronics</v>
      </c>
      <c r="E212">
        <f>IF(Raw_data!E243="",NA(),Raw_data!E243)</f>
        <v>500</v>
      </c>
      <c r="F212">
        <f>IF(Raw_data!F243="",NA(),Raw_data!F243)</f>
        <v>4</v>
      </c>
      <c r="G212">
        <f>IF(Raw_data!G243="",NA(),Raw_data!G243)</f>
        <v>2000</v>
      </c>
      <c r="H212" t="str">
        <f>IF(Raw_data!H243="",NA(),Raw_data!H243)</f>
        <v>Chris White</v>
      </c>
      <c r="I212" t="str">
        <f>IF(Raw_data!I243="",NA(),Raw_data!I243)</f>
        <v>Boston</v>
      </c>
      <c r="J212" t="str">
        <f>IF(Raw_data!J243="",NA(),Raw_data!J243)</f>
        <v>Gift Card</v>
      </c>
      <c r="K212" t="str">
        <f>IF(Raw_data!K243="",NA(),Raw_data!K243)</f>
        <v>Pending</v>
      </c>
      <c r="L212">
        <f t="shared" si="6"/>
        <v>1</v>
      </c>
      <c r="M212" t="str">
        <f t="shared" si="7"/>
        <v>03-08-25</v>
      </c>
      <c r="N212" t="str">
        <f>LEFT(Table2[[#This Row],[Date_text]],2)</f>
        <v>03</v>
      </c>
      <c r="O212" s="32" t="str">
        <f>MID(Table2[[#This Row],[Date_text]],4,2)</f>
        <v>08</v>
      </c>
      <c r="P212" t="str">
        <f>RIGHT(Table2[[#This Row],[Date_text]],2)</f>
        <v>25</v>
      </c>
    </row>
    <row r="213" spans="1:16" x14ac:dyDescent="0.25">
      <c r="A213" t="str">
        <f>IF(Raw_data!A244="",NA(),Raw_data!A244)</f>
        <v>ORD0243</v>
      </c>
      <c r="B213" s="1">
        <f>IF(Raw_data!B244="",NA(),Raw_data!B244)</f>
        <v>45780</v>
      </c>
      <c r="C213" t="str">
        <f>IF(Raw_data!C244="",NA(),Raw_data!C244)</f>
        <v>Running Shoes</v>
      </c>
      <c r="D213" t="str">
        <f>IF(Raw_data!D244="",NA(),Raw_data!D244)</f>
        <v>Footwear</v>
      </c>
      <c r="E213">
        <f>IF(Raw_data!E244="",NA(),Raw_data!E244)</f>
        <v>60</v>
      </c>
      <c r="F213">
        <f>IF(Raw_data!F244="",NA(),Raw_data!F244)</f>
        <v>2</v>
      </c>
      <c r="G213">
        <f>IF(Raw_data!G244="",NA(),Raw_data!G244)</f>
        <v>120</v>
      </c>
      <c r="H213" t="str">
        <f>IF(Raw_data!H244="",NA(),Raw_data!H244)</f>
        <v>Chris White</v>
      </c>
      <c r="I213" t="str">
        <f>IF(Raw_data!I244="",NA(),Raw_data!I244)</f>
        <v>Houston</v>
      </c>
      <c r="J213" t="str">
        <f>IF(Raw_data!J244="",NA(),Raw_data!J244)</f>
        <v>Amazon Pay</v>
      </c>
      <c r="K213" t="str">
        <f>IF(Raw_data!K244="",NA(),Raw_data!K244)</f>
        <v>Completed</v>
      </c>
      <c r="L213">
        <f t="shared" si="6"/>
        <v>1</v>
      </c>
      <c r="M213" t="str">
        <f t="shared" si="7"/>
        <v>03-05-25</v>
      </c>
      <c r="N213" t="str">
        <f>LEFT(Table2[[#This Row],[Date_text]],2)</f>
        <v>03</v>
      </c>
      <c r="O213" s="32" t="str">
        <f>MID(Table2[[#This Row],[Date_text]],4,2)</f>
        <v>05</v>
      </c>
      <c r="P213" t="str">
        <f>RIGHT(Table2[[#This Row],[Date_text]],2)</f>
        <v>25</v>
      </c>
    </row>
    <row r="214" spans="1:16" x14ac:dyDescent="0.25">
      <c r="A214" t="str">
        <f>IF(Raw_data!A245="",NA(),Raw_data!A245)</f>
        <v>ORD0244</v>
      </c>
      <c r="B214" s="1">
        <f>IF(Raw_data!B245="",NA(),Raw_data!B245)</f>
        <v>45810</v>
      </c>
      <c r="C214" t="str">
        <f>IF(Raw_data!C245="",NA(),Raw_data!C245)</f>
        <v>Smartphone</v>
      </c>
      <c r="D214" t="str">
        <f>IF(Raw_data!D245="",NA(),Raw_data!D245)</f>
        <v>Electronics</v>
      </c>
      <c r="E214">
        <f>IF(Raw_data!E245="",NA(),Raw_data!E245)</f>
        <v>500</v>
      </c>
      <c r="F214">
        <f>IF(Raw_data!F245="",NA(),Raw_data!F245)</f>
        <v>4</v>
      </c>
      <c r="G214">
        <f>IF(Raw_data!G245="",NA(),Raw_data!G245)</f>
        <v>2000</v>
      </c>
      <c r="H214" t="str">
        <f>IF(Raw_data!H245="",NA(),Raw_data!H245)</f>
        <v>Emma Clark</v>
      </c>
      <c r="I214" t="str">
        <f>IF(Raw_data!I245="",NA(),Raw_data!I245)</f>
        <v>Houston</v>
      </c>
      <c r="J214" t="str">
        <f>IF(Raw_data!J245="",NA(),Raw_data!J245)</f>
        <v>Credit Card</v>
      </c>
      <c r="K214" t="str">
        <f>IF(Raw_data!K245="",NA(),Raw_data!K245)</f>
        <v>Completed</v>
      </c>
      <c r="L214">
        <f t="shared" si="6"/>
        <v>1</v>
      </c>
      <c r="M214" t="str">
        <f t="shared" si="7"/>
        <v>02-06-25</v>
      </c>
      <c r="N214" t="str">
        <f>LEFT(Table2[[#This Row],[Date_text]],2)</f>
        <v>02</v>
      </c>
      <c r="O214" s="32" t="str">
        <f>MID(Table2[[#This Row],[Date_text]],4,2)</f>
        <v>06</v>
      </c>
      <c r="P214" t="str">
        <f>RIGHT(Table2[[#This Row],[Date_text]],2)</f>
        <v>25</v>
      </c>
    </row>
    <row r="215" spans="1:16" x14ac:dyDescent="0.25">
      <c r="A215" t="str">
        <f>IF(Raw_data!A246="",NA(),Raw_data!A246)</f>
        <v>ORD0245</v>
      </c>
      <c r="B215" s="1">
        <f>IF(Raw_data!B246="",NA(),Raw_data!B246)</f>
        <v>45749</v>
      </c>
      <c r="C215" t="str">
        <f>IF(Raw_data!C246="",NA(),Raw_data!C246)</f>
        <v>Laptop</v>
      </c>
      <c r="D215" t="str">
        <f>IF(Raw_data!D246="",NA(),Raw_data!D246)</f>
        <v>Electronics</v>
      </c>
      <c r="E215">
        <f>IF(Raw_data!E246="",NA(),Raw_data!E246)</f>
        <v>800</v>
      </c>
      <c r="F215">
        <f>IF(Raw_data!F246="",NA(),Raw_data!F246)</f>
        <v>1</v>
      </c>
      <c r="G215">
        <f>IF(Raw_data!G246="",NA(),Raw_data!G246)</f>
        <v>800</v>
      </c>
      <c r="H215" t="str">
        <f>IF(Raw_data!H246="",NA(),Raw_data!H246)</f>
        <v>Michael Brown</v>
      </c>
      <c r="I215" t="str">
        <f>IF(Raw_data!I246="",NA(),Raw_data!I246)</f>
        <v>Los Angeles</v>
      </c>
      <c r="J215" t="str">
        <f>IF(Raw_data!J246="",NA(),Raw_data!J246)</f>
        <v>Credit Card</v>
      </c>
      <c r="K215" t="str">
        <f>IF(Raw_data!K246="",NA(),Raw_data!K246)</f>
        <v>Cancelled</v>
      </c>
      <c r="L215">
        <f t="shared" si="6"/>
        <v>1</v>
      </c>
      <c r="M215" t="str">
        <f t="shared" si="7"/>
        <v>02-04-25</v>
      </c>
      <c r="N215" t="str">
        <f>LEFT(Table2[[#This Row],[Date_text]],2)</f>
        <v>02</v>
      </c>
      <c r="O215" s="32" t="str">
        <f>MID(Table2[[#This Row],[Date_text]],4,2)</f>
        <v>04</v>
      </c>
      <c r="P215" t="str">
        <f>RIGHT(Table2[[#This Row],[Date_text]],2)</f>
        <v>25</v>
      </c>
    </row>
    <row r="216" spans="1:16" x14ac:dyDescent="0.25">
      <c r="A216" t="str">
        <f>IF(Raw_data!A247="",NA(),Raw_data!A247)</f>
        <v>ORD0246</v>
      </c>
      <c r="B216" s="1" t="str">
        <f>IF(Raw_data!B247="",NA(),Raw_data!B247)</f>
        <v>17-03-25</v>
      </c>
      <c r="C216" t="str">
        <f>IF(Raw_data!C247="",NA(),Raw_data!C247)</f>
        <v>T-Shirt</v>
      </c>
      <c r="D216" t="str">
        <f>IF(Raw_data!D247="",NA(),Raw_data!D247)</f>
        <v>Clothing</v>
      </c>
      <c r="E216">
        <f>IF(Raw_data!E247="",NA(),Raw_data!E247)</f>
        <v>20</v>
      </c>
      <c r="F216">
        <f>IF(Raw_data!F247="",NA(),Raw_data!F247)</f>
        <v>2</v>
      </c>
      <c r="G216">
        <f>IF(Raw_data!G247="",NA(),Raw_data!G247)</f>
        <v>40</v>
      </c>
      <c r="H216" t="str">
        <f>IF(Raw_data!H247="",NA(),Raw_data!H247)</f>
        <v>Daniel Harris</v>
      </c>
      <c r="I216" t="str">
        <f>IF(Raw_data!I247="",NA(),Raw_data!I247)</f>
        <v>Miami</v>
      </c>
      <c r="J216" t="str">
        <f>IF(Raw_data!J247="",NA(),Raw_data!J247)</f>
        <v>Debit Card</v>
      </c>
      <c r="K216" t="str">
        <f>IF(Raw_data!K247="",NA(),Raw_data!K247)</f>
        <v>Cancelled</v>
      </c>
      <c r="L216">
        <f t="shared" si="6"/>
        <v>1</v>
      </c>
      <c r="M216" t="str">
        <f t="shared" si="7"/>
        <v>17-03-25</v>
      </c>
      <c r="N216" t="str">
        <f>LEFT(Table2[[#This Row],[Date_text]],2)</f>
        <v>17</v>
      </c>
      <c r="O216" s="32" t="str">
        <f>MID(Table2[[#This Row],[Date_text]],4,2)</f>
        <v>03</v>
      </c>
      <c r="P216" t="str">
        <f>RIGHT(Table2[[#This Row],[Date_text]],2)</f>
        <v>25</v>
      </c>
    </row>
    <row r="217" spans="1:16" x14ac:dyDescent="0.25">
      <c r="A217" t="str">
        <f>IF(Raw_data!A248="",NA(),Raw_data!A248)</f>
        <v>ORD0247</v>
      </c>
      <c r="B217" s="1" t="str">
        <f>IF(Raw_data!B248="",NA(),Raw_data!B248)</f>
        <v>30-03-25</v>
      </c>
      <c r="C217" t="str">
        <f>IF(Raw_data!C248="",NA(),Raw_data!C248)</f>
        <v>Jeans</v>
      </c>
      <c r="D217" t="str">
        <f>IF(Raw_data!D248="",NA(),Raw_data!D248)</f>
        <v>Clothing</v>
      </c>
      <c r="E217">
        <f>IF(Raw_data!E248="",NA(),Raw_data!E248)</f>
        <v>40</v>
      </c>
      <c r="F217">
        <f>IF(Raw_data!F248="",NA(),Raw_data!F248)</f>
        <v>1</v>
      </c>
      <c r="G217">
        <f>IF(Raw_data!G248="",NA(),Raw_data!G248)</f>
        <v>40</v>
      </c>
      <c r="H217" t="str">
        <f>IF(Raw_data!H248="",NA(),Raw_data!H248)</f>
        <v>Sophia Miller</v>
      </c>
      <c r="I217" t="str">
        <f>IF(Raw_data!I248="",NA(),Raw_data!I248)</f>
        <v>Dallas</v>
      </c>
      <c r="J217" t="str">
        <f>IF(Raw_data!J248="",NA(),Raw_data!J248)</f>
        <v>Debit Card</v>
      </c>
      <c r="K217" t="str">
        <f>IF(Raw_data!K248="",NA(),Raw_data!K248)</f>
        <v>Cancelled</v>
      </c>
      <c r="L217">
        <f t="shared" si="6"/>
        <v>1</v>
      </c>
      <c r="M217" t="str">
        <f t="shared" si="7"/>
        <v>30-03-25</v>
      </c>
      <c r="N217" t="str">
        <f>LEFT(Table2[[#This Row],[Date_text]],2)</f>
        <v>30</v>
      </c>
      <c r="O217" s="32" t="str">
        <f>MID(Table2[[#This Row],[Date_text]],4,2)</f>
        <v>03</v>
      </c>
      <c r="P217" t="str">
        <f>RIGHT(Table2[[#This Row],[Date_text]],2)</f>
        <v>25</v>
      </c>
    </row>
    <row r="218" spans="1:16" x14ac:dyDescent="0.25">
      <c r="A218" t="str">
        <f>IF(Raw_data!A249="",NA(),Raw_data!A249)</f>
        <v>ORD0248</v>
      </c>
      <c r="B218" s="1">
        <f>IF(Raw_data!B249="",NA(),Raw_data!B249)</f>
        <v>45780</v>
      </c>
      <c r="C218" t="str">
        <f>IF(Raw_data!C249="",NA(),Raw_data!C249)</f>
        <v>T-Shirt</v>
      </c>
      <c r="D218" t="str">
        <f>IF(Raw_data!D249="",NA(),Raw_data!D249)</f>
        <v>Clothing</v>
      </c>
      <c r="E218">
        <f>IF(Raw_data!E249="",NA(),Raw_data!E249)</f>
        <v>20</v>
      </c>
      <c r="F218">
        <f>IF(Raw_data!F249="",NA(),Raw_data!F249)</f>
        <v>2</v>
      </c>
      <c r="G218">
        <f>IF(Raw_data!G249="",NA(),Raw_data!G249)</f>
        <v>40</v>
      </c>
      <c r="H218" t="str">
        <f>IF(Raw_data!H249="",NA(),Raw_data!H249)</f>
        <v>Chris White</v>
      </c>
      <c r="I218" t="str">
        <f>IF(Raw_data!I249="",NA(),Raw_data!I249)</f>
        <v>Denver</v>
      </c>
      <c r="J218" t="str">
        <f>IF(Raw_data!J249="",NA(),Raw_data!J249)</f>
        <v>Debit Card</v>
      </c>
      <c r="K218" t="str">
        <f>IF(Raw_data!K249="",NA(),Raw_data!K249)</f>
        <v>Cancelled</v>
      </c>
      <c r="L218">
        <f t="shared" si="6"/>
        <v>1</v>
      </c>
      <c r="M218" t="str">
        <f t="shared" si="7"/>
        <v>03-05-25</v>
      </c>
      <c r="N218" t="str">
        <f>LEFT(Table2[[#This Row],[Date_text]],2)</f>
        <v>03</v>
      </c>
      <c r="O218" s="32" t="str">
        <f>MID(Table2[[#This Row],[Date_text]],4,2)</f>
        <v>05</v>
      </c>
      <c r="P218" t="str">
        <f>RIGHT(Table2[[#This Row],[Date_text]],2)</f>
        <v>25</v>
      </c>
    </row>
    <row r="219" spans="1:16" x14ac:dyDescent="0.25">
      <c r="A219" t="str">
        <f>IF(Raw_data!A250="",NA(),Raw_data!A250)</f>
        <v>ORD0249</v>
      </c>
      <c r="B219" s="1">
        <f>IF(Raw_data!B250="",NA(),Raw_data!B250)</f>
        <v>45872</v>
      </c>
      <c r="C219" t="str">
        <f>IF(Raw_data!C250="",NA(),Raw_data!C250)</f>
        <v>Smartwatch</v>
      </c>
      <c r="D219" t="str">
        <f>IF(Raw_data!D250="",NA(),Raw_data!D250)</f>
        <v>Electronics</v>
      </c>
      <c r="E219">
        <f>IF(Raw_data!E250="",NA(),Raw_data!E250)</f>
        <v>150</v>
      </c>
      <c r="F219">
        <f>IF(Raw_data!F250="",NA(),Raw_data!F250)</f>
        <v>3</v>
      </c>
      <c r="G219">
        <f>IF(Raw_data!G250="",NA(),Raw_data!G250)</f>
        <v>450</v>
      </c>
      <c r="H219" t="str">
        <f>IF(Raw_data!H250="",NA(),Raw_data!H250)</f>
        <v>Emily Johnson</v>
      </c>
      <c r="I219" t="str">
        <f>IF(Raw_data!I250="",NA(),Raw_data!I250)</f>
        <v>New York</v>
      </c>
      <c r="J219" t="str">
        <f>IF(Raw_data!J250="",NA(),Raw_data!J250)</f>
        <v>Debit Card</v>
      </c>
      <c r="K219" t="str">
        <f>IF(Raw_data!K250="",NA(),Raw_data!K250)</f>
        <v>Cancelled</v>
      </c>
      <c r="L219">
        <f t="shared" si="6"/>
        <v>1</v>
      </c>
      <c r="M219" t="str">
        <f t="shared" si="7"/>
        <v>03-08-25</v>
      </c>
      <c r="N219" t="str">
        <f>LEFT(Table2[[#This Row],[Date_text]],2)</f>
        <v>03</v>
      </c>
      <c r="O219" s="32" t="str">
        <f>MID(Table2[[#This Row],[Date_text]],4,2)</f>
        <v>08</v>
      </c>
      <c r="P219" t="str">
        <f>RIGHT(Table2[[#This Row],[Date_text]],2)</f>
        <v>25</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9704A-AEAC-4030-89DC-3AC58F27F96B}">
  <dimension ref="A3:R63"/>
  <sheetViews>
    <sheetView workbookViewId="0"/>
  </sheetViews>
  <sheetFormatPr defaultRowHeight="15" x14ac:dyDescent="0.25"/>
  <cols>
    <col min="1" max="1" width="16.7109375" bestFit="1" customWidth="1"/>
    <col min="2" max="2" width="10.85546875" bestFit="1" customWidth="1"/>
    <col min="3" max="3" width="7.85546875" customWidth="1"/>
    <col min="4" max="4" width="16.5703125" bestFit="1" customWidth="1"/>
    <col min="5" max="5" width="9.7109375" bestFit="1" customWidth="1"/>
    <col min="6" max="6" width="7.5703125" customWidth="1"/>
    <col min="7" max="7" width="11.28515625" bestFit="1" customWidth="1"/>
    <col min="8" max="8" width="11.5703125" bestFit="1" customWidth="1"/>
    <col min="9" max="9" width="7.140625" customWidth="1"/>
    <col min="10" max="10" width="18.85546875" bestFit="1" customWidth="1"/>
    <col min="11" max="11" width="21.7109375" bestFit="1" customWidth="1"/>
    <col min="12" max="12" width="7" customWidth="1"/>
    <col min="13" max="13" width="20.5703125" bestFit="1" customWidth="1"/>
    <col min="14" max="14" width="11" bestFit="1" customWidth="1"/>
    <col min="15" max="15" width="9.7109375" bestFit="1" customWidth="1"/>
    <col min="16" max="16" width="7.42578125" customWidth="1"/>
    <col min="17" max="17" width="22.28515625" customWidth="1"/>
    <col min="18" max="18" width="11.28515625" bestFit="1" customWidth="1"/>
  </cols>
  <sheetData>
    <row r="3" spans="1:18" x14ac:dyDescent="0.25">
      <c r="A3" s="27" t="s">
        <v>3</v>
      </c>
      <c r="B3" t="s">
        <v>354</v>
      </c>
      <c r="D3" s="27" t="s">
        <v>3</v>
      </c>
      <c r="E3" t="s">
        <v>365</v>
      </c>
      <c r="G3" s="27" t="s">
        <v>4</v>
      </c>
      <c r="H3" t="s">
        <v>389</v>
      </c>
      <c r="J3" s="27" t="s">
        <v>10</v>
      </c>
      <c r="K3" t="s">
        <v>370</v>
      </c>
      <c r="M3" s="27" t="s">
        <v>3</v>
      </c>
      <c r="N3" t="s">
        <v>354</v>
      </c>
      <c r="O3" t="s">
        <v>365</v>
      </c>
      <c r="Q3" s="30" t="s">
        <v>385</v>
      </c>
      <c r="R3" t="s">
        <v>347</v>
      </c>
    </row>
    <row r="4" spans="1:18" x14ac:dyDescent="0.25">
      <c r="A4" s="28" t="s">
        <v>22</v>
      </c>
      <c r="B4" s="26">
        <v>124115</v>
      </c>
      <c r="D4" s="28" t="s">
        <v>22</v>
      </c>
      <c r="E4" s="26">
        <v>332</v>
      </c>
      <c r="G4" s="28" t="s">
        <v>356</v>
      </c>
      <c r="H4" s="26">
        <v>37</v>
      </c>
      <c r="J4" s="28" t="s">
        <v>391</v>
      </c>
      <c r="K4" s="26">
        <v>64</v>
      </c>
      <c r="M4" s="28" t="s">
        <v>84</v>
      </c>
      <c r="N4" s="26">
        <v>900</v>
      </c>
      <c r="O4" s="26">
        <v>60</v>
      </c>
      <c r="Q4" t="s">
        <v>386</v>
      </c>
      <c r="R4">
        <f>SUM(Cleanning_data!G2:G220)</f>
        <v>212815</v>
      </c>
    </row>
    <row r="5" spans="1:18" x14ac:dyDescent="0.25">
      <c r="A5" s="28" t="s">
        <v>66</v>
      </c>
      <c r="B5" s="26">
        <v>81600</v>
      </c>
      <c r="D5" s="28" t="s">
        <v>40</v>
      </c>
      <c r="E5" s="26">
        <v>90</v>
      </c>
      <c r="G5" s="28" t="s">
        <v>357</v>
      </c>
      <c r="H5" s="26">
        <v>15</v>
      </c>
      <c r="J5" s="28" t="s">
        <v>393</v>
      </c>
      <c r="K5" s="26">
        <v>78</v>
      </c>
      <c r="M5" s="29" t="s">
        <v>55</v>
      </c>
      <c r="N5" s="26">
        <v>900</v>
      </c>
      <c r="O5" s="26">
        <v>60</v>
      </c>
      <c r="Q5" t="s">
        <v>387</v>
      </c>
      <c r="R5">
        <f>SUM(Cleanning_data!F2:F220)</f>
        <v>629</v>
      </c>
    </row>
    <row r="6" spans="1:18" x14ac:dyDescent="0.25">
      <c r="A6" s="28" t="s">
        <v>14</v>
      </c>
      <c r="B6" s="26">
        <v>3540</v>
      </c>
      <c r="D6" s="28" t="s">
        <v>66</v>
      </c>
      <c r="E6" s="26">
        <v>88</v>
      </c>
      <c r="G6" s="28" t="s">
        <v>358</v>
      </c>
      <c r="H6" s="26">
        <v>24</v>
      </c>
      <c r="J6" s="28" t="s">
        <v>392</v>
      </c>
      <c r="K6" s="26">
        <v>76</v>
      </c>
      <c r="M6" s="28" t="s">
        <v>40</v>
      </c>
      <c r="N6" s="26">
        <v>2660</v>
      </c>
      <c r="O6" s="26">
        <v>90</v>
      </c>
      <c r="Q6" t="s">
        <v>388</v>
      </c>
      <c r="R6">
        <f>ROUND(R4/R5,2)</f>
        <v>338.34</v>
      </c>
    </row>
    <row r="7" spans="1:18" x14ac:dyDescent="0.25">
      <c r="A7" s="28" t="s">
        <v>40</v>
      </c>
      <c r="B7" s="26">
        <v>2660</v>
      </c>
      <c r="D7" s="28" t="s">
        <v>84</v>
      </c>
      <c r="E7" s="26">
        <v>60</v>
      </c>
      <c r="G7" s="28" t="s">
        <v>359</v>
      </c>
      <c r="H7" s="26">
        <v>21</v>
      </c>
      <c r="J7" s="28" t="s">
        <v>353</v>
      </c>
      <c r="K7" s="26">
        <v>218</v>
      </c>
      <c r="M7" s="29" t="s">
        <v>59</v>
      </c>
      <c r="N7" s="26">
        <v>1680</v>
      </c>
      <c r="O7" s="26">
        <v>42</v>
      </c>
    </row>
    <row r="8" spans="1:18" x14ac:dyDescent="0.25">
      <c r="A8" s="28" t="s">
        <v>84</v>
      </c>
      <c r="B8" s="26">
        <v>900</v>
      </c>
      <c r="D8" s="28" t="s">
        <v>14</v>
      </c>
      <c r="E8" s="26">
        <v>59</v>
      </c>
      <c r="G8" s="28" t="s">
        <v>360</v>
      </c>
      <c r="H8" s="26">
        <v>45</v>
      </c>
      <c r="M8" s="29" t="s">
        <v>39</v>
      </c>
      <c r="N8" s="26">
        <v>980</v>
      </c>
      <c r="O8" s="26">
        <v>48</v>
      </c>
    </row>
    <row r="9" spans="1:18" x14ac:dyDescent="0.25">
      <c r="A9" s="28" t="s">
        <v>353</v>
      </c>
      <c r="B9" s="26">
        <v>212815</v>
      </c>
      <c r="D9" s="28" t="s">
        <v>353</v>
      </c>
      <c r="E9" s="26">
        <v>629</v>
      </c>
      <c r="G9" s="28" t="s">
        <v>361</v>
      </c>
      <c r="H9" s="26">
        <v>24</v>
      </c>
      <c r="J9" s="27" t="s">
        <v>9</v>
      </c>
      <c r="K9" t="s">
        <v>371</v>
      </c>
      <c r="M9" s="28" t="s">
        <v>22</v>
      </c>
      <c r="N9" s="26">
        <v>124115</v>
      </c>
      <c r="O9" s="26">
        <v>332</v>
      </c>
    </row>
    <row r="10" spans="1:18" x14ac:dyDescent="0.25">
      <c r="G10" s="28" t="s">
        <v>362</v>
      </c>
      <c r="H10" s="26">
        <v>14</v>
      </c>
      <c r="J10" s="28" t="s">
        <v>30</v>
      </c>
      <c r="K10" s="26">
        <v>34</v>
      </c>
      <c r="M10" s="29" t="s">
        <v>55</v>
      </c>
      <c r="N10" s="26">
        <v>45</v>
      </c>
      <c r="O10" s="26">
        <v>3</v>
      </c>
    </row>
    <row r="11" spans="1:18" x14ac:dyDescent="0.25">
      <c r="A11" s="27" t="s">
        <v>2</v>
      </c>
      <c r="B11" t="s">
        <v>355</v>
      </c>
      <c r="D11" s="27" t="s">
        <v>2</v>
      </c>
      <c r="E11" t="s">
        <v>365</v>
      </c>
      <c r="G11" s="28" t="s">
        <v>363</v>
      </c>
      <c r="H11" s="26">
        <v>21</v>
      </c>
      <c r="J11" s="28" t="s">
        <v>35</v>
      </c>
      <c r="K11" s="26">
        <v>49</v>
      </c>
      <c r="M11" s="29" t="s">
        <v>21</v>
      </c>
      <c r="N11" s="26">
        <v>6000</v>
      </c>
      <c r="O11" s="26">
        <v>62</v>
      </c>
    </row>
    <row r="12" spans="1:18" x14ac:dyDescent="0.25">
      <c r="A12" s="28" t="s">
        <v>72</v>
      </c>
      <c r="B12" s="26">
        <v>64800</v>
      </c>
      <c r="D12" s="28" t="s">
        <v>37</v>
      </c>
      <c r="E12" s="26">
        <v>99</v>
      </c>
      <c r="G12" s="28" t="s">
        <v>364</v>
      </c>
      <c r="H12" s="26">
        <v>17</v>
      </c>
      <c r="J12" s="28" t="s">
        <v>17</v>
      </c>
      <c r="K12" s="26">
        <v>47</v>
      </c>
      <c r="M12" s="29" t="s">
        <v>59</v>
      </c>
      <c r="N12" s="26">
        <v>280</v>
      </c>
      <c r="O12" s="26">
        <v>7</v>
      </c>
    </row>
    <row r="13" spans="1:18" x14ac:dyDescent="0.25">
      <c r="A13" s="28" t="s">
        <v>101</v>
      </c>
      <c r="B13" s="26">
        <v>56000</v>
      </c>
      <c r="D13" s="28" t="s">
        <v>47</v>
      </c>
      <c r="E13" s="26">
        <v>78</v>
      </c>
      <c r="G13" s="28" t="s">
        <v>353</v>
      </c>
      <c r="H13" s="26">
        <v>218</v>
      </c>
      <c r="J13" s="28" t="s">
        <v>63</v>
      </c>
      <c r="K13" s="26">
        <v>36</v>
      </c>
      <c r="M13" s="29" t="s">
        <v>101</v>
      </c>
      <c r="N13" s="26">
        <v>56000</v>
      </c>
      <c r="O13" s="26">
        <v>71</v>
      </c>
    </row>
    <row r="14" spans="1:18" x14ac:dyDescent="0.25">
      <c r="A14" s="28" t="s">
        <v>47</v>
      </c>
      <c r="B14" s="26">
        <v>39000</v>
      </c>
      <c r="D14" s="28" t="s">
        <v>101</v>
      </c>
      <c r="E14" s="26">
        <v>71</v>
      </c>
      <c r="J14" s="28" t="s">
        <v>44</v>
      </c>
      <c r="K14" s="26">
        <v>52</v>
      </c>
      <c r="M14" s="29" t="s">
        <v>72</v>
      </c>
      <c r="N14" s="26">
        <v>7200</v>
      </c>
      <c r="O14" s="26">
        <v>6</v>
      </c>
    </row>
    <row r="15" spans="1:18" x14ac:dyDescent="0.25">
      <c r="A15" s="28" t="s">
        <v>65</v>
      </c>
      <c r="B15" s="26">
        <v>24600</v>
      </c>
      <c r="D15" s="28" t="s">
        <v>55</v>
      </c>
      <c r="E15" s="26">
        <v>63</v>
      </c>
      <c r="G15" s="27" t="s">
        <v>5</v>
      </c>
      <c r="H15" t="s">
        <v>389</v>
      </c>
      <c r="J15" s="28" t="s">
        <v>353</v>
      </c>
      <c r="K15" s="26">
        <v>218</v>
      </c>
      <c r="M15" s="29" t="s">
        <v>13</v>
      </c>
      <c r="N15" s="26">
        <v>120</v>
      </c>
      <c r="O15" s="26">
        <v>2</v>
      </c>
    </row>
    <row r="16" spans="1:18" x14ac:dyDescent="0.25">
      <c r="A16" s="28" t="s">
        <v>37</v>
      </c>
      <c r="B16" s="26">
        <v>14850</v>
      </c>
      <c r="D16" s="28" t="s">
        <v>21</v>
      </c>
      <c r="E16" s="26">
        <v>62</v>
      </c>
      <c r="G16" s="28" t="s">
        <v>366</v>
      </c>
      <c r="H16" s="26">
        <v>46</v>
      </c>
      <c r="M16" s="29" t="s">
        <v>47</v>
      </c>
      <c r="N16" s="26">
        <v>39000</v>
      </c>
      <c r="O16" s="26">
        <v>78</v>
      </c>
    </row>
    <row r="17" spans="1:15" x14ac:dyDescent="0.25">
      <c r="A17" s="28" t="s">
        <v>21</v>
      </c>
      <c r="B17" s="26">
        <v>6000</v>
      </c>
      <c r="D17" s="28" t="s">
        <v>13</v>
      </c>
      <c r="E17" s="26">
        <v>61</v>
      </c>
      <c r="G17" s="28" t="s">
        <v>367</v>
      </c>
      <c r="H17" s="26">
        <v>43</v>
      </c>
      <c r="M17" s="29" t="s">
        <v>37</v>
      </c>
      <c r="N17" s="26">
        <v>14850</v>
      </c>
      <c r="O17" s="26">
        <v>99</v>
      </c>
    </row>
    <row r="18" spans="1:15" x14ac:dyDescent="0.25">
      <c r="A18" s="28" t="s">
        <v>13</v>
      </c>
      <c r="B18" s="26">
        <v>3660</v>
      </c>
      <c r="D18" s="28" t="s">
        <v>72</v>
      </c>
      <c r="E18" s="26">
        <v>56</v>
      </c>
      <c r="G18" s="28" t="s">
        <v>368</v>
      </c>
      <c r="H18" s="26">
        <v>59</v>
      </c>
      <c r="M18" s="29" t="s">
        <v>39</v>
      </c>
      <c r="N18" s="26">
        <v>20</v>
      </c>
      <c r="O18" s="26">
        <v>3</v>
      </c>
    </row>
    <row r="19" spans="1:15" x14ac:dyDescent="0.25">
      <c r="A19" s="28" t="s">
        <v>59</v>
      </c>
      <c r="B19" s="26">
        <v>1960</v>
      </c>
      <c r="D19" s="28" t="s">
        <v>39</v>
      </c>
      <c r="E19" s="26">
        <v>51</v>
      </c>
      <c r="G19" s="28" t="s">
        <v>369</v>
      </c>
      <c r="H19" s="26">
        <v>70</v>
      </c>
      <c r="M19" s="29" t="s">
        <v>65</v>
      </c>
      <c r="N19" s="26">
        <v>600</v>
      </c>
      <c r="O19" s="26">
        <v>1</v>
      </c>
    </row>
    <row r="20" spans="1:15" x14ac:dyDescent="0.25">
      <c r="A20" s="28" t="s">
        <v>39</v>
      </c>
      <c r="B20" s="26">
        <v>1000</v>
      </c>
      <c r="D20" s="28" t="s">
        <v>59</v>
      </c>
      <c r="E20" s="26">
        <v>49</v>
      </c>
      <c r="G20" s="28" t="s">
        <v>353</v>
      </c>
      <c r="H20" s="26">
        <v>218</v>
      </c>
      <c r="M20" s="28" t="s">
        <v>14</v>
      </c>
      <c r="N20" s="26">
        <v>3540</v>
      </c>
      <c r="O20" s="26">
        <v>59</v>
      </c>
    </row>
    <row r="21" spans="1:15" x14ac:dyDescent="0.25">
      <c r="A21" s="28" t="s">
        <v>55</v>
      </c>
      <c r="B21" s="26">
        <v>945</v>
      </c>
      <c r="D21" s="28" t="s">
        <v>65</v>
      </c>
      <c r="E21" s="26">
        <v>39</v>
      </c>
      <c r="M21" s="29" t="s">
        <v>13</v>
      </c>
      <c r="N21" s="26">
        <v>3540</v>
      </c>
      <c r="O21" s="26">
        <v>59</v>
      </c>
    </row>
    <row r="22" spans="1:15" x14ac:dyDescent="0.25">
      <c r="A22" s="28" t="s">
        <v>353</v>
      </c>
      <c r="B22" s="26">
        <v>212815</v>
      </c>
      <c r="D22" s="28" t="s">
        <v>353</v>
      </c>
      <c r="E22" s="26">
        <v>629</v>
      </c>
      <c r="G22" s="27" t="s">
        <v>6</v>
      </c>
      <c r="H22" t="s">
        <v>389</v>
      </c>
      <c r="M22" s="28" t="s">
        <v>66</v>
      </c>
      <c r="N22" s="26">
        <v>81600</v>
      </c>
      <c r="O22" s="26">
        <v>88</v>
      </c>
    </row>
    <row r="23" spans="1:15" x14ac:dyDescent="0.25">
      <c r="G23" s="28" t="s">
        <v>394</v>
      </c>
      <c r="H23" s="26">
        <v>56</v>
      </c>
      <c r="M23" s="29" t="s">
        <v>72</v>
      </c>
      <c r="N23" s="26">
        <v>57600</v>
      </c>
      <c r="O23" s="26">
        <v>50</v>
      </c>
    </row>
    <row r="24" spans="1:15" x14ac:dyDescent="0.25">
      <c r="A24" s="27" t="s">
        <v>372</v>
      </c>
      <c r="B24" t="s">
        <v>355</v>
      </c>
      <c r="D24" s="27" t="s">
        <v>372</v>
      </c>
      <c r="E24" t="s">
        <v>365</v>
      </c>
      <c r="G24" s="28" t="s">
        <v>395</v>
      </c>
      <c r="H24" s="26">
        <v>30</v>
      </c>
      <c r="M24" s="29" t="s">
        <v>65</v>
      </c>
      <c r="N24" s="26">
        <v>24000</v>
      </c>
      <c r="O24" s="26">
        <v>38</v>
      </c>
    </row>
    <row r="25" spans="1:15" x14ac:dyDescent="0.25">
      <c r="A25" s="28" t="s">
        <v>29</v>
      </c>
      <c r="B25" s="26">
        <v>29635</v>
      </c>
      <c r="D25" s="28" t="s">
        <v>29</v>
      </c>
      <c r="E25" s="26">
        <v>78</v>
      </c>
      <c r="G25" s="28" t="s">
        <v>396</v>
      </c>
      <c r="H25" s="26">
        <v>22</v>
      </c>
      <c r="M25" s="28" t="s">
        <v>353</v>
      </c>
      <c r="N25" s="26">
        <v>212815</v>
      </c>
      <c r="O25" s="26">
        <v>629</v>
      </c>
    </row>
    <row r="26" spans="1:15" x14ac:dyDescent="0.25">
      <c r="A26" s="28" t="s">
        <v>49</v>
      </c>
      <c r="B26" s="26">
        <v>28600</v>
      </c>
      <c r="D26" s="28" t="s">
        <v>49</v>
      </c>
      <c r="E26" s="26">
        <v>74</v>
      </c>
      <c r="G26" s="28" t="s">
        <v>397</v>
      </c>
      <c r="H26" s="26">
        <v>5</v>
      </c>
    </row>
    <row r="27" spans="1:15" x14ac:dyDescent="0.25">
      <c r="A27" s="28" t="s">
        <v>51</v>
      </c>
      <c r="B27" s="26">
        <v>25170</v>
      </c>
      <c r="D27" s="28" t="s">
        <v>16</v>
      </c>
      <c r="E27" s="26">
        <v>70</v>
      </c>
      <c r="G27" s="28" t="s">
        <v>398</v>
      </c>
      <c r="H27" s="26">
        <v>16</v>
      </c>
    </row>
    <row r="28" spans="1:15" x14ac:dyDescent="0.25">
      <c r="A28" s="28" t="s">
        <v>43</v>
      </c>
      <c r="B28" s="26">
        <v>24380</v>
      </c>
      <c r="D28" s="28" t="s">
        <v>43</v>
      </c>
      <c r="E28" s="26">
        <v>70</v>
      </c>
      <c r="G28" s="28" t="s">
        <v>399</v>
      </c>
      <c r="H28" s="26">
        <v>8</v>
      </c>
    </row>
    <row r="29" spans="1:15" x14ac:dyDescent="0.25">
      <c r="A29" s="28" t="s">
        <v>34</v>
      </c>
      <c r="B29" s="26">
        <v>19605</v>
      </c>
      <c r="D29" s="28" t="s">
        <v>51</v>
      </c>
      <c r="E29" s="26">
        <v>67</v>
      </c>
      <c r="G29" s="28" t="s">
        <v>400</v>
      </c>
      <c r="H29" s="26">
        <v>11</v>
      </c>
    </row>
    <row r="30" spans="1:15" x14ac:dyDescent="0.25">
      <c r="A30" s="28" t="s">
        <v>16</v>
      </c>
      <c r="B30" s="26">
        <v>18665</v>
      </c>
      <c r="D30" s="28" t="s">
        <v>34</v>
      </c>
      <c r="E30" s="26">
        <v>67</v>
      </c>
      <c r="G30" s="28" t="s">
        <v>401</v>
      </c>
      <c r="H30" s="26">
        <v>6</v>
      </c>
    </row>
    <row r="31" spans="1:15" x14ac:dyDescent="0.25">
      <c r="A31" s="28" t="s">
        <v>93</v>
      </c>
      <c r="B31" s="26">
        <v>17655</v>
      </c>
      <c r="D31" s="28" t="s">
        <v>24</v>
      </c>
      <c r="E31" s="26">
        <v>59</v>
      </c>
      <c r="G31" s="28" t="s">
        <v>402</v>
      </c>
      <c r="H31" s="26">
        <v>6</v>
      </c>
    </row>
    <row r="32" spans="1:15" x14ac:dyDescent="0.25">
      <c r="A32" s="28" t="s">
        <v>69</v>
      </c>
      <c r="B32" s="26">
        <v>17490</v>
      </c>
      <c r="D32" s="28" t="s">
        <v>69</v>
      </c>
      <c r="E32" s="26">
        <v>50</v>
      </c>
      <c r="G32" s="28" t="s">
        <v>403</v>
      </c>
      <c r="H32" s="26">
        <v>6</v>
      </c>
    </row>
    <row r="33" spans="1:8" x14ac:dyDescent="0.25">
      <c r="A33" s="28" t="s">
        <v>75</v>
      </c>
      <c r="B33" s="26">
        <v>17020</v>
      </c>
      <c r="D33" s="28" t="s">
        <v>93</v>
      </c>
      <c r="E33" s="26">
        <v>49</v>
      </c>
      <c r="G33" s="28" t="s">
        <v>404</v>
      </c>
      <c r="H33" s="26">
        <v>2</v>
      </c>
    </row>
    <row r="34" spans="1:8" x14ac:dyDescent="0.25">
      <c r="A34" s="28" t="s">
        <v>24</v>
      </c>
      <c r="B34" s="26">
        <v>14595</v>
      </c>
      <c r="D34" s="28" t="s">
        <v>75</v>
      </c>
      <c r="E34" s="26">
        <v>45</v>
      </c>
      <c r="G34" s="28" t="s">
        <v>405</v>
      </c>
      <c r="H34" s="26">
        <v>3</v>
      </c>
    </row>
    <row r="35" spans="1:8" x14ac:dyDescent="0.25">
      <c r="A35" s="28" t="s">
        <v>353</v>
      </c>
      <c r="B35" s="26">
        <v>212815</v>
      </c>
      <c r="D35" s="28" t="s">
        <v>353</v>
      </c>
      <c r="E35" s="26">
        <v>629</v>
      </c>
      <c r="G35" s="28" t="s">
        <v>406</v>
      </c>
      <c r="H35" s="26">
        <v>5</v>
      </c>
    </row>
    <row r="36" spans="1:8" x14ac:dyDescent="0.25">
      <c r="G36" s="28" t="s">
        <v>407</v>
      </c>
      <c r="H36" s="26">
        <v>17</v>
      </c>
    </row>
    <row r="37" spans="1:8" x14ac:dyDescent="0.25">
      <c r="A37" s="27" t="s">
        <v>7</v>
      </c>
      <c r="B37" t="s">
        <v>355</v>
      </c>
      <c r="D37" s="27" t="s">
        <v>7</v>
      </c>
      <c r="E37" t="s">
        <v>365</v>
      </c>
      <c r="G37" s="28" t="s">
        <v>408</v>
      </c>
      <c r="H37" s="26">
        <v>4</v>
      </c>
    </row>
    <row r="38" spans="1:8" x14ac:dyDescent="0.25">
      <c r="A38" s="28" t="s">
        <v>48</v>
      </c>
      <c r="B38" s="26">
        <v>8395</v>
      </c>
      <c r="D38" s="28" t="s">
        <v>15</v>
      </c>
      <c r="E38" s="26">
        <v>90</v>
      </c>
      <c r="G38" s="28" t="s">
        <v>409</v>
      </c>
      <c r="H38" s="26">
        <v>2</v>
      </c>
    </row>
    <row r="39" spans="1:8" x14ac:dyDescent="0.25">
      <c r="A39" s="28" t="s">
        <v>62</v>
      </c>
      <c r="B39" s="26">
        <v>16495</v>
      </c>
      <c r="D39" s="28" t="s">
        <v>92</v>
      </c>
      <c r="E39" s="26">
        <v>76</v>
      </c>
      <c r="G39" s="28" t="s">
        <v>410</v>
      </c>
      <c r="H39" s="26">
        <v>4</v>
      </c>
    </row>
    <row r="40" spans="1:8" x14ac:dyDescent="0.25">
      <c r="A40" s="28" t="s">
        <v>23</v>
      </c>
      <c r="B40" s="26">
        <v>17775</v>
      </c>
      <c r="D40" s="28" t="s">
        <v>33</v>
      </c>
      <c r="E40" s="26">
        <v>74</v>
      </c>
      <c r="G40" s="28" t="s">
        <v>411</v>
      </c>
      <c r="H40" s="26">
        <v>5</v>
      </c>
    </row>
    <row r="41" spans="1:8" x14ac:dyDescent="0.25">
      <c r="A41" s="28" t="s">
        <v>80</v>
      </c>
      <c r="B41" s="26">
        <v>18585</v>
      </c>
      <c r="D41" s="28" t="s">
        <v>60</v>
      </c>
      <c r="E41" s="26">
        <v>70</v>
      </c>
      <c r="G41" s="28" t="s">
        <v>412</v>
      </c>
      <c r="H41" s="26">
        <v>4</v>
      </c>
    </row>
    <row r="42" spans="1:8" x14ac:dyDescent="0.25">
      <c r="A42" s="28" t="s">
        <v>56</v>
      </c>
      <c r="B42" s="26">
        <v>20025</v>
      </c>
      <c r="D42" s="28" t="s">
        <v>56</v>
      </c>
      <c r="E42" s="26">
        <v>60</v>
      </c>
      <c r="G42" s="28" t="s">
        <v>413</v>
      </c>
      <c r="H42" s="26">
        <v>4</v>
      </c>
    </row>
    <row r="43" spans="1:8" x14ac:dyDescent="0.25">
      <c r="A43" s="28" t="s">
        <v>60</v>
      </c>
      <c r="B43" s="26">
        <v>20155</v>
      </c>
      <c r="D43" s="28" t="s">
        <v>28</v>
      </c>
      <c r="E43" s="26">
        <v>58</v>
      </c>
      <c r="G43" s="28" t="s">
        <v>414</v>
      </c>
      <c r="H43" s="26">
        <v>2</v>
      </c>
    </row>
    <row r="44" spans="1:8" x14ac:dyDescent="0.25">
      <c r="A44" s="28" t="s">
        <v>28</v>
      </c>
      <c r="B44" s="26">
        <v>22460</v>
      </c>
      <c r="D44" s="28" t="s">
        <v>62</v>
      </c>
      <c r="E44" s="26">
        <v>58</v>
      </c>
      <c r="G44" s="28" t="s">
        <v>353</v>
      </c>
      <c r="H44" s="26">
        <v>218</v>
      </c>
    </row>
    <row r="45" spans="1:8" x14ac:dyDescent="0.25">
      <c r="A45" s="28" t="s">
        <v>92</v>
      </c>
      <c r="B45" s="26">
        <v>26885</v>
      </c>
      <c r="D45" s="28" t="s">
        <v>23</v>
      </c>
      <c r="E45" s="26">
        <v>56</v>
      </c>
    </row>
    <row r="46" spans="1:8" x14ac:dyDescent="0.25">
      <c r="A46" s="28" t="s">
        <v>15</v>
      </c>
      <c r="B46" s="26">
        <v>29400</v>
      </c>
      <c r="D46" s="28" t="s">
        <v>80</v>
      </c>
      <c r="E46" s="26">
        <v>51</v>
      </c>
    </row>
    <row r="47" spans="1:8" x14ac:dyDescent="0.25">
      <c r="A47" s="28" t="s">
        <v>33</v>
      </c>
      <c r="B47" s="26">
        <v>32640</v>
      </c>
      <c r="D47" s="28" t="s">
        <v>48</v>
      </c>
      <c r="E47" s="26">
        <v>36</v>
      </c>
    </row>
    <row r="48" spans="1:8" x14ac:dyDescent="0.25">
      <c r="A48" s="28" t="s">
        <v>353</v>
      </c>
      <c r="B48" s="26">
        <v>212815</v>
      </c>
      <c r="D48" s="28" t="s">
        <v>353</v>
      </c>
      <c r="E48" s="26">
        <v>629</v>
      </c>
    </row>
    <row r="50" spans="1:5" x14ac:dyDescent="0.25">
      <c r="A50" s="27" t="s">
        <v>351</v>
      </c>
      <c r="B50" t="s">
        <v>355</v>
      </c>
      <c r="D50" s="27" t="s">
        <v>351</v>
      </c>
      <c r="E50" t="s">
        <v>365</v>
      </c>
    </row>
    <row r="51" spans="1:5" x14ac:dyDescent="0.25">
      <c r="A51" s="28" t="s">
        <v>375</v>
      </c>
      <c r="B51" s="26">
        <v>71330</v>
      </c>
      <c r="D51" s="28" t="s">
        <v>373</v>
      </c>
      <c r="E51" s="26">
        <v>5</v>
      </c>
    </row>
    <row r="52" spans="1:5" x14ac:dyDescent="0.25">
      <c r="A52" s="28" t="s">
        <v>374</v>
      </c>
      <c r="B52" s="26">
        <v>66750</v>
      </c>
      <c r="D52" s="28" t="s">
        <v>374</v>
      </c>
      <c r="E52" s="26">
        <v>204</v>
      </c>
    </row>
    <row r="53" spans="1:5" x14ac:dyDescent="0.25">
      <c r="A53" s="28" t="s">
        <v>378</v>
      </c>
      <c r="B53" s="26">
        <v>16620</v>
      </c>
      <c r="D53" s="28" t="s">
        <v>375</v>
      </c>
      <c r="E53" s="26">
        <v>237</v>
      </c>
    </row>
    <row r="54" spans="1:5" x14ac:dyDescent="0.25">
      <c r="A54" s="28" t="s">
        <v>382</v>
      </c>
      <c r="B54" s="26">
        <v>14430</v>
      </c>
      <c r="D54" s="28" t="s">
        <v>376</v>
      </c>
      <c r="E54" s="26">
        <v>17</v>
      </c>
    </row>
    <row r="55" spans="1:5" x14ac:dyDescent="0.25">
      <c r="A55" s="28" t="s">
        <v>376</v>
      </c>
      <c r="B55" s="26">
        <v>12700</v>
      </c>
      <c r="D55" s="28" t="s">
        <v>377</v>
      </c>
      <c r="E55" s="26">
        <v>12</v>
      </c>
    </row>
    <row r="56" spans="1:5" x14ac:dyDescent="0.25">
      <c r="A56" s="28" t="s">
        <v>379</v>
      </c>
      <c r="B56" s="26">
        <v>10180</v>
      </c>
      <c r="D56" s="28" t="s">
        <v>378</v>
      </c>
      <c r="E56" s="26">
        <v>25</v>
      </c>
    </row>
    <row r="57" spans="1:5" x14ac:dyDescent="0.25">
      <c r="A57" s="28" t="s">
        <v>380</v>
      </c>
      <c r="B57" s="26">
        <v>4765</v>
      </c>
      <c r="D57" s="28" t="s">
        <v>379</v>
      </c>
      <c r="E57" s="26">
        <v>20</v>
      </c>
    </row>
    <row r="58" spans="1:5" x14ac:dyDescent="0.25">
      <c r="A58" s="28" t="s">
        <v>383</v>
      </c>
      <c r="B58" s="26">
        <v>4750</v>
      </c>
      <c r="D58" s="28" t="s">
        <v>380</v>
      </c>
      <c r="E58" s="26">
        <v>28</v>
      </c>
    </row>
    <row r="59" spans="1:5" x14ac:dyDescent="0.25">
      <c r="A59" s="28" t="s">
        <v>384</v>
      </c>
      <c r="B59" s="26">
        <v>4270</v>
      </c>
      <c r="D59" s="28" t="s">
        <v>381</v>
      </c>
      <c r="E59" s="26">
        <v>11</v>
      </c>
    </row>
    <row r="60" spans="1:5" x14ac:dyDescent="0.25">
      <c r="A60" s="28" t="s">
        <v>381</v>
      </c>
      <c r="B60" s="26">
        <v>3600</v>
      </c>
      <c r="D60" s="28" t="s">
        <v>382</v>
      </c>
      <c r="E60" s="26">
        <v>36</v>
      </c>
    </row>
    <row r="61" spans="1:5" x14ac:dyDescent="0.25">
      <c r="A61" s="28" t="s">
        <v>377</v>
      </c>
      <c r="B61" s="26">
        <v>2900</v>
      </c>
      <c r="D61" s="28" t="s">
        <v>383</v>
      </c>
      <c r="E61" s="26">
        <v>18</v>
      </c>
    </row>
    <row r="62" spans="1:5" x14ac:dyDescent="0.25">
      <c r="A62" s="28" t="s">
        <v>373</v>
      </c>
      <c r="B62" s="26">
        <v>520</v>
      </c>
      <c r="D62" s="28" t="s">
        <v>384</v>
      </c>
      <c r="E62" s="26">
        <v>16</v>
      </c>
    </row>
    <row r="63" spans="1:5" x14ac:dyDescent="0.25">
      <c r="A63" s="28" t="s">
        <v>353</v>
      </c>
      <c r="B63" s="26">
        <v>212815</v>
      </c>
      <c r="D63" s="28" t="s">
        <v>353</v>
      </c>
      <c r="E63" s="26">
        <v>629</v>
      </c>
    </row>
  </sheetData>
  <pageMargins left="0.7" right="0.7" top="0.75" bottom="0.75" header="0.3" footer="0.3"/>
  <pageSetup orientation="portrait" r:id="rId17"/>
  <tableParts count="1">
    <tablePart r:id="rId1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FACAD-40F3-4E7B-8B13-BAF6B1C5623B}">
  <dimension ref="B10"/>
  <sheetViews>
    <sheetView topLeftCell="B1" zoomScaleNormal="100" workbookViewId="0"/>
  </sheetViews>
  <sheetFormatPr defaultRowHeight="15" x14ac:dyDescent="0.25"/>
  <cols>
    <col min="1" max="16384" width="9.140625" style="31"/>
  </cols>
  <sheetData>
    <row r="10" spans="2:2" x14ac:dyDescent="0.25">
      <c r="B10" s="31" t="s">
        <v>390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8BA03-D1F0-4DD9-9AA5-CD37F86CA82C}">
  <dimension ref="A1"/>
  <sheetViews>
    <sheetView topLeftCell="A13" zoomScaleNormal="100" workbookViewId="0"/>
  </sheetViews>
  <sheetFormatPr defaultRowHeight="15" x14ac:dyDescent="0.25"/>
  <cols>
    <col min="1" max="16384" width="9.140625" style="3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7FB4A-D999-4480-B41D-F8322A90F848}">
  <dimension ref="A1:A19"/>
  <sheetViews>
    <sheetView tabSelected="1" workbookViewId="0">
      <selection activeCell="V18" sqref="V18"/>
    </sheetView>
  </sheetViews>
  <sheetFormatPr defaultRowHeight="15" x14ac:dyDescent="0.25"/>
  <cols>
    <col min="1" max="16384" width="9.140625" style="31"/>
  </cols>
  <sheetData>
    <row r="1" spans="1:1" ht="20.25" x14ac:dyDescent="0.3">
      <c r="A1" s="33" t="s">
        <v>415</v>
      </c>
    </row>
    <row r="2" spans="1:1" ht="18.75" x14ac:dyDescent="0.3">
      <c r="A2" s="35" t="s">
        <v>416</v>
      </c>
    </row>
    <row r="3" spans="1:1" ht="18.75" x14ac:dyDescent="0.3">
      <c r="A3" s="34" t="s">
        <v>417</v>
      </c>
    </row>
    <row r="4" spans="1:1" ht="18.75" x14ac:dyDescent="0.3">
      <c r="A4" s="34" t="s">
        <v>418</v>
      </c>
    </row>
    <row r="5" spans="1:1" ht="18.75" x14ac:dyDescent="0.3">
      <c r="A5" s="34" t="s">
        <v>419</v>
      </c>
    </row>
    <row r="6" spans="1:1" ht="18.75" x14ac:dyDescent="0.3">
      <c r="A6" s="34" t="s">
        <v>420</v>
      </c>
    </row>
    <row r="7" spans="1:1" ht="18.75" x14ac:dyDescent="0.3">
      <c r="A7" s="34" t="s">
        <v>421</v>
      </c>
    </row>
    <row r="8" spans="1:1" ht="18.75" x14ac:dyDescent="0.3">
      <c r="A8" s="34" t="s">
        <v>422</v>
      </c>
    </row>
    <row r="9" spans="1:1" ht="18.75" x14ac:dyDescent="0.3">
      <c r="A9" s="34" t="s">
        <v>424</v>
      </c>
    </row>
    <row r="10" spans="1:1" ht="18.75" x14ac:dyDescent="0.3">
      <c r="A10" s="34" t="s">
        <v>423</v>
      </c>
    </row>
    <row r="11" spans="1:1" ht="18.75" x14ac:dyDescent="0.3">
      <c r="A11" s="34" t="s">
        <v>425</v>
      </c>
    </row>
    <row r="13" spans="1:1" ht="20.25" x14ac:dyDescent="0.3">
      <c r="A13" s="33" t="s">
        <v>426</v>
      </c>
    </row>
    <row r="14" spans="1:1" ht="18.75" x14ac:dyDescent="0.3">
      <c r="A14" s="34" t="s">
        <v>427</v>
      </c>
    </row>
    <row r="15" spans="1:1" ht="18.75" x14ac:dyDescent="0.3">
      <c r="A15" s="34" t="s">
        <v>428</v>
      </c>
    </row>
    <row r="16" spans="1:1" ht="18.75" x14ac:dyDescent="0.3">
      <c r="A16" s="34" t="s">
        <v>429</v>
      </c>
    </row>
    <row r="17" spans="1:1" ht="18.75" x14ac:dyDescent="0.3">
      <c r="A17" s="34" t="s">
        <v>430</v>
      </c>
    </row>
    <row r="18" spans="1:1" ht="18.75" x14ac:dyDescent="0.3">
      <c r="A18" s="34" t="s">
        <v>431</v>
      </c>
    </row>
    <row r="19" spans="1:1" ht="18.75" x14ac:dyDescent="0.3">
      <c r="A19" s="34" t="s">
        <v>432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Raw_data</vt:lpstr>
      <vt:lpstr>Cleanning_data</vt:lpstr>
      <vt:lpstr>Data_analysis</vt:lpstr>
      <vt:lpstr>Dashboard_tab1</vt:lpstr>
      <vt:lpstr>Dashboard_tab2</vt:lpstr>
      <vt:lpstr>Insights_and_Recomendations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KHẮC HƯNG</cp:lastModifiedBy>
  <dcterms:created xsi:type="dcterms:W3CDTF">2026-03-20T14:14:43Z</dcterms:created>
  <dcterms:modified xsi:type="dcterms:W3CDTF">2026-03-24T05:22:29Z</dcterms:modified>
</cp:coreProperties>
</file>